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22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Otros ordenadores\Mi portátil\itec_desarollo_de_software\matematica_y_logica_2024\funciones\"/>
    </mc:Choice>
  </mc:AlternateContent>
  <xr:revisionPtr revIDLastSave="0" documentId="13_ncr:1_{6199CEFF-2AE4-4D23-B2D1-2F3B54D76E41}" xr6:coauthVersionLast="47" xr6:coauthVersionMax="47" xr10:uidLastSave="{00000000-0000-0000-0000-000000000000}"/>
  <bookViews>
    <workbookView xWindow="-120" yWindow="-120" windowWidth="29040" windowHeight="15840" tabRatio="732" activeTab="5" xr2:uid="{00000000-000D-0000-FFFF-FFFF00000000}"/>
  </bookViews>
  <sheets>
    <sheet name="Consulta(ej9)" sheetId="1" r:id="rId1"/>
    <sheet name="Base de datos(ej9)" sheetId="3" r:id="rId2"/>
    <sheet name="Carga" sheetId="12" r:id="rId3"/>
    <sheet name="Datos de los vendedores(ej4)" sheetId="9" r:id="rId4"/>
    <sheet name="Consulta" sheetId="11" r:id="rId5"/>
    <sheet name="Ficha Empleados" sheetId="13" r:id="rId6"/>
    <sheet name="Carga Empleados" sheetId="14" r:id="rId7"/>
    <sheet name="Consulta Empleado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1" l="1"/>
  <c r="G4" i="9"/>
  <c r="G5" i="9"/>
  <c r="G6" i="9"/>
  <c r="G7" i="9"/>
  <c r="G8" i="9"/>
  <c r="G9" i="9"/>
  <c r="G10" i="9"/>
  <c r="G11" i="9"/>
  <c r="H4" i="9"/>
  <c r="H5" i="9"/>
  <c r="H6" i="9"/>
  <c r="H7" i="9"/>
  <c r="H8" i="9"/>
  <c r="H9" i="9"/>
  <c r="H10" i="9"/>
  <c r="H11" i="9"/>
  <c r="H3" i="9"/>
  <c r="G3" i="9"/>
  <c r="F11" i="1"/>
  <c r="M5" i="3"/>
  <c r="M6" i="3"/>
  <c r="M7" i="3"/>
  <c r="M8" i="3"/>
  <c r="M13" i="3"/>
  <c r="L5" i="3"/>
  <c r="L6" i="3"/>
  <c r="L7" i="3"/>
  <c r="L8" i="3"/>
  <c r="L9" i="3"/>
  <c r="M9" i="3" s="1"/>
  <c r="L10" i="3"/>
  <c r="M10" i="3" s="1"/>
  <c r="L11" i="3"/>
  <c r="M11" i="3" s="1"/>
  <c r="L12" i="3"/>
  <c r="M12" i="3" s="1"/>
  <c r="L13" i="3"/>
  <c r="L4" i="3"/>
  <c r="M4" i="3" s="1"/>
  <c r="M14" i="3" l="1"/>
</calcChain>
</file>

<file path=xl/sharedStrings.xml><?xml version="1.0" encoding="utf-8"?>
<sst xmlns="http://schemas.openxmlformats.org/spreadsheetml/2006/main" count="149" uniqueCount="116">
  <si>
    <t>Fecha</t>
  </si>
  <si>
    <t>Cliente</t>
  </si>
  <si>
    <t>Hora Inicio</t>
  </si>
  <si>
    <t>Hora Fin</t>
  </si>
  <si>
    <t>Dirección</t>
  </si>
  <si>
    <t>Teléfono</t>
  </si>
  <si>
    <t>Función</t>
  </si>
  <si>
    <t>Costo/Hora</t>
  </si>
  <si>
    <t>Horas Trabajadas</t>
  </si>
  <si>
    <t>Importe Total</t>
  </si>
  <si>
    <t>Total en el mes:</t>
  </si>
  <si>
    <t>Numero de cliente</t>
  </si>
  <si>
    <t>y = m.x + b</t>
  </si>
  <si>
    <t>m = horas trabajadas</t>
  </si>
  <si>
    <t>x = precio x hora</t>
  </si>
  <si>
    <t>b = precio x ir a la casa</t>
  </si>
  <si>
    <t>Nombre de cliente</t>
  </si>
  <si>
    <t>Telefono:</t>
  </si>
  <si>
    <t>Direccion:</t>
  </si>
  <si>
    <t>Fecha:</t>
  </si>
  <si>
    <t>Hora de ingreso:</t>
  </si>
  <si>
    <t>Hora de salida:</t>
  </si>
  <si>
    <t>Precio por hora:</t>
  </si>
  <si>
    <t>Funcion:</t>
  </si>
  <si>
    <t>CLIENTES</t>
  </si>
  <si>
    <t>Precio final:</t>
  </si>
  <si>
    <t xml:space="preserve">Base de datos </t>
  </si>
  <si>
    <t>Horas netas:</t>
  </si>
  <si>
    <t>Alan Velasco</t>
  </si>
  <si>
    <t>Ramon Diaz</t>
  </si>
  <si>
    <t>Marcelo Gallardo</t>
  </si>
  <si>
    <t>Fabricio Bustos</t>
  </si>
  <si>
    <t>Franco Armani</t>
  </si>
  <si>
    <t>Miguel Borja</t>
  </si>
  <si>
    <t>Facundo Colidio</t>
  </si>
  <si>
    <t>Paulo Diaz</t>
  </si>
  <si>
    <t>Marcos Acuña</t>
  </si>
  <si>
    <t>Claudio Echeverri</t>
  </si>
  <si>
    <t>Calle 2535</t>
  </si>
  <si>
    <t>Calle 3122</t>
  </si>
  <si>
    <t>Calle 5326</t>
  </si>
  <si>
    <t>Calle 472</t>
  </si>
  <si>
    <t>Calle 4267</t>
  </si>
  <si>
    <t>Calle 3920</t>
  </si>
  <si>
    <t>Calle 2340</t>
  </si>
  <si>
    <t>Calle 1212</t>
  </si>
  <si>
    <t>Calle 162</t>
  </si>
  <si>
    <t>Calle 942</t>
  </si>
  <si>
    <t>Instalacion</t>
  </si>
  <si>
    <t>Reparacion</t>
  </si>
  <si>
    <t>Cambio</t>
  </si>
  <si>
    <t>Consulta</t>
  </si>
  <si>
    <t>Visita</t>
  </si>
  <si>
    <t>Si</t>
  </si>
  <si>
    <t>No</t>
  </si>
  <si>
    <t>La visita tiene un costo de $50 de base.</t>
  </si>
  <si>
    <t>Mes</t>
  </si>
  <si>
    <t>Mayo</t>
  </si>
  <si>
    <t>Nombre Vendedor</t>
  </si>
  <si>
    <t>Comision por Boleto</t>
  </si>
  <si>
    <t>Carga de Vendedor</t>
  </si>
  <si>
    <t>Nombre</t>
  </si>
  <si>
    <t>Boletos vendidos</t>
  </si>
  <si>
    <t>Total boletos vendidos</t>
  </si>
  <si>
    <t>Precio de boleto</t>
  </si>
  <si>
    <t>Rafa</t>
  </si>
  <si>
    <t>Base de Datos</t>
  </si>
  <si>
    <t>Total acumulado</t>
  </si>
  <si>
    <t>Total de comision</t>
  </si>
  <si>
    <t>Fede</t>
  </si>
  <si>
    <t>Enero</t>
  </si>
  <si>
    <t>Ganancia Neta</t>
  </si>
  <si>
    <t>Nombre de Vendedor</t>
  </si>
  <si>
    <t>Fran</t>
  </si>
  <si>
    <t>Diciembre</t>
  </si>
  <si>
    <t>Nico</t>
  </si>
  <si>
    <t>Julio</t>
  </si>
  <si>
    <t>Tadeo</t>
  </si>
  <si>
    <t>Noviembre</t>
  </si>
  <si>
    <t>Gabriel</t>
  </si>
  <si>
    <t>Febrero</t>
  </si>
  <si>
    <t>Costo de fabricacion de Boletos</t>
  </si>
  <si>
    <t xml:space="preserve">Balance </t>
  </si>
  <si>
    <t>Lautaro</t>
  </si>
  <si>
    <t>Septiembre</t>
  </si>
  <si>
    <t>Franco</t>
  </si>
  <si>
    <t>Octubre</t>
  </si>
  <si>
    <t>Raul</t>
  </si>
  <si>
    <t>Ficha Clientes</t>
  </si>
  <si>
    <t>Nº</t>
  </si>
  <si>
    <t>Empleado</t>
  </si>
  <si>
    <t>Puesto</t>
  </si>
  <si>
    <t>Horas Extras</t>
  </si>
  <si>
    <t>Sueldo</t>
  </si>
  <si>
    <t>Carga Empleado</t>
  </si>
  <si>
    <t>Numero</t>
  </si>
  <si>
    <t>Nombre empleado</t>
  </si>
  <si>
    <t>Puesto de trabajo</t>
  </si>
  <si>
    <t>Horas extras</t>
  </si>
  <si>
    <t>Consulta de Cliente</t>
  </si>
  <si>
    <t>Horas Extra</t>
  </si>
  <si>
    <t>Costo Hora Extra</t>
  </si>
  <si>
    <t>Total</t>
  </si>
  <si>
    <t>Francisco Ambrogio</t>
  </si>
  <si>
    <t>Deposito</t>
  </si>
  <si>
    <t>Agosto</t>
  </si>
  <si>
    <t>Analista de datos</t>
  </si>
  <si>
    <t>Nº 1</t>
  </si>
  <si>
    <t>Nicolas Rodriguez</t>
  </si>
  <si>
    <t>Nº 2</t>
  </si>
  <si>
    <t>Lautaro Armoa</t>
  </si>
  <si>
    <t>Vendedor</t>
  </si>
  <si>
    <t>Nº 3</t>
  </si>
  <si>
    <t>Diego Becerra</t>
  </si>
  <si>
    <t xml:space="preserve">Repositor </t>
  </si>
  <si>
    <t>Nº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</si>
</sst>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[$-F400]h:mm:ss\ AM/PM"/>
    <numFmt numFmtId="165" formatCode="[$-F800]dddd\,\ mmmm\ dd\,\ yyyy"/>
    <numFmt numFmtId="166" formatCode="dd/mm/yyyy;@"/>
    <numFmt numFmtId="168" formatCode="&quot;$&quot;\ #,##0.00"/>
  </numFmts>
  <fonts count="2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12"/>
      <color theme="1"/>
      <name val="Arial"/>
      <family val="2"/>
    </font>
    <font>
      <b/>
      <sz val="12"/>
      <color theme="1"/>
      <name val="Bahnschrift Light SemiCondensed"/>
      <family val="2"/>
    </font>
    <font>
      <b/>
      <u/>
      <sz val="20"/>
      <color theme="1"/>
      <name val="Bahnschrift Light SemiCondensed"/>
      <family val="2"/>
    </font>
    <font>
      <b/>
      <sz val="16"/>
      <color theme="1"/>
      <name val="Bahnschrift Light SemiCondensed"/>
      <family val="2"/>
    </font>
    <font>
      <b/>
      <sz val="20"/>
      <color theme="1"/>
      <name val="Bahnschrift Light SemiCondensed"/>
      <family val="2"/>
    </font>
    <font>
      <sz val="12"/>
      <color theme="1"/>
      <name val="Bahnschrift Light SemiCondensed"/>
      <family val="2"/>
    </font>
    <font>
      <sz val="14"/>
      <color theme="1"/>
      <name val="Bahnschrift Light SemiCondensed"/>
      <family val="2"/>
    </font>
    <font>
      <sz val="16"/>
      <color theme="1"/>
      <name val="Bahnschrift Light SemiCondensed"/>
      <family val="2"/>
    </font>
    <font>
      <sz val="20"/>
      <color theme="1"/>
      <name val="Bahnschrift SemiBold SemiConden"/>
      <family val="2"/>
    </font>
    <font>
      <b/>
      <sz val="22"/>
      <color theme="1"/>
      <name val="Bahnschrift SemiBold SemiConden"/>
      <family val="2"/>
    </font>
    <font>
      <sz val="22"/>
      <color theme="1"/>
      <name val="Bahnschrift SemiBold Condensed"/>
      <family val="2"/>
    </font>
    <font>
      <sz val="11"/>
      <color rgb="FF000000"/>
      <name val="Calibri"/>
      <family val="2"/>
    </font>
    <font>
      <sz val="11"/>
      <color theme="1"/>
      <name val="Bahnschrift Light SemiCondensed"/>
      <family val="2"/>
    </font>
    <font>
      <sz val="18"/>
      <color theme="1"/>
      <name val="Bahnschrift Light SemiCondensed"/>
      <family val="2"/>
    </font>
    <font>
      <sz val="14"/>
      <name val="Bahnschrift Light SemiCondensed"/>
      <family val="2"/>
    </font>
    <font>
      <sz val="20"/>
      <color theme="1"/>
      <name val="Bahnschrift Light SemiCondensed"/>
      <family val="2"/>
    </font>
    <font>
      <sz val="22"/>
      <color theme="1"/>
      <name val="Bahnschrift Light SemiCondensed"/>
      <family val="2"/>
    </font>
    <font>
      <b/>
      <sz val="22"/>
      <color theme="1"/>
      <name val="Bahnschrift Light SemiCondensed"/>
      <family val="2"/>
    </font>
    <font>
      <sz val="22"/>
      <color rgb="FFFF0000"/>
      <name val="Calibri"/>
      <family val="2"/>
      <scheme val="minor"/>
    </font>
    <font>
      <b/>
      <u/>
      <sz val="22"/>
      <color theme="1"/>
      <name val="Bahnschrift Light SemiCondensed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2" borderId="1" xfId="0" applyFont="1" applyFill="1" applyBorder="1"/>
    <xf numFmtId="0" fontId="6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8" fillId="0" borderId="1" xfId="0" applyFont="1" applyBorder="1"/>
    <xf numFmtId="0" fontId="10" fillId="0" borderId="1" xfId="0" applyFont="1" applyBorder="1"/>
    <xf numFmtId="14" fontId="10" fillId="0" borderId="1" xfId="0" applyNumberFormat="1" applyFont="1" applyBorder="1"/>
    <xf numFmtId="164" fontId="10" fillId="0" borderId="1" xfId="0" applyNumberFormat="1" applyFont="1" applyBorder="1"/>
    <xf numFmtId="0" fontId="10" fillId="0" borderId="1" xfId="0" applyFont="1" applyBorder="1" applyAlignment="1">
      <alignment horizontal="center"/>
    </xf>
    <xf numFmtId="0" fontId="11" fillId="4" borderId="1" xfId="0" applyFont="1" applyFill="1" applyBorder="1"/>
    <xf numFmtId="0" fontId="0" fillId="4" borderId="1" xfId="0" applyFill="1" applyBorder="1"/>
    <xf numFmtId="0" fontId="12" fillId="5" borderId="1" xfId="0" applyFont="1" applyFill="1" applyBorder="1"/>
    <xf numFmtId="44" fontId="13" fillId="5" borderId="1" xfId="1" applyFont="1" applyFill="1" applyBorder="1"/>
    <xf numFmtId="14" fontId="8" fillId="0" borderId="1" xfId="0" applyNumberFormat="1" applyFont="1" applyBorder="1" applyAlignment="1">
      <alignment horizontal="right" wrapText="1"/>
    </xf>
    <xf numFmtId="0" fontId="8" fillId="0" borderId="1" xfId="0" applyFont="1" applyBorder="1" applyAlignment="1">
      <alignment wrapText="1"/>
    </xf>
    <xf numFmtId="0" fontId="8" fillId="0" borderId="1" xfId="0" applyFont="1" applyBorder="1" applyAlignment="1">
      <alignment horizontal="right" wrapText="1"/>
    </xf>
    <xf numFmtId="20" fontId="8" fillId="0" borderId="1" xfId="0" applyNumberFormat="1" applyFont="1" applyBorder="1" applyAlignment="1">
      <alignment horizontal="right" wrapText="1"/>
    </xf>
    <xf numFmtId="0" fontId="9" fillId="0" borderId="1" xfId="0" applyFont="1" applyBorder="1"/>
    <xf numFmtId="0" fontId="10" fillId="3" borderId="1" xfId="0" applyFont="1" applyFill="1" applyBorder="1"/>
    <xf numFmtId="0" fontId="9" fillId="0" borderId="1" xfId="0" applyFont="1" applyBorder="1" applyAlignment="1">
      <alignment wrapText="1"/>
    </xf>
    <xf numFmtId="0" fontId="15" fillId="0" borderId="0" xfId="0" applyFont="1"/>
    <xf numFmtId="0" fontId="9" fillId="7" borderId="1" xfId="0" applyFont="1" applyFill="1" applyBorder="1"/>
    <xf numFmtId="165" fontId="0" fillId="0" borderId="1" xfId="0" applyNumberFormat="1" applyBorder="1"/>
    <xf numFmtId="14" fontId="9" fillId="0" borderId="1" xfId="0" applyNumberFormat="1" applyFont="1" applyBorder="1" applyAlignment="1">
      <alignment wrapText="1"/>
    </xf>
    <xf numFmtId="44" fontId="9" fillId="0" borderId="1" xfId="1" applyFont="1" applyBorder="1" applyAlignment="1">
      <alignment wrapText="1"/>
    </xf>
    <xf numFmtId="44" fontId="9" fillId="0" borderId="1" xfId="1" applyFont="1" applyBorder="1"/>
    <xf numFmtId="2" fontId="10" fillId="3" borderId="1" xfId="0" applyNumberFormat="1" applyFont="1" applyFill="1" applyBorder="1"/>
    <xf numFmtId="2" fontId="0" fillId="0" borderId="0" xfId="0" applyNumberFormat="1"/>
    <xf numFmtId="2" fontId="15" fillId="0" borderId="0" xfId="0" applyNumberFormat="1" applyFont="1"/>
    <xf numFmtId="44" fontId="9" fillId="0" borderId="1" xfId="0" applyNumberFormat="1" applyFont="1" applyBorder="1"/>
    <xf numFmtId="2" fontId="17" fillId="0" borderId="1" xfId="0" applyNumberFormat="1" applyFont="1" applyBorder="1"/>
    <xf numFmtId="44" fontId="10" fillId="0" borderId="1" xfId="0" applyNumberFormat="1" applyFont="1" applyBorder="1"/>
    <xf numFmtId="166" fontId="0" fillId="0" borderId="0" xfId="0" applyNumberFormat="1"/>
    <xf numFmtId="0" fontId="5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wrapText="1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6" fillId="6" borderId="4" xfId="0" applyFont="1" applyFill="1" applyBorder="1" applyAlignment="1">
      <alignment horizontal="center"/>
    </xf>
    <xf numFmtId="0" fontId="16" fillId="6" borderId="0" xfId="0" applyFont="1" applyFill="1" applyAlignment="1">
      <alignment horizontal="center"/>
    </xf>
    <xf numFmtId="44" fontId="10" fillId="6" borderId="1" xfId="1" applyFont="1" applyFill="1" applyBorder="1"/>
    <xf numFmtId="0" fontId="10" fillId="9" borderId="1" xfId="0" applyFont="1" applyFill="1" applyBorder="1"/>
    <xf numFmtId="0" fontId="10" fillId="10" borderId="1" xfId="0" applyFont="1" applyFill="1" applyBorder="1"/>
    <xf numFmtId="14" fontId="9" fillId="0" borderId="1" xfId="0" applyNumberFormat="1" applyFont="1" applyBorder="1"/>
    <xf numFmtId="0" fontId="22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/>
    </xf>
    <xf numFmtId="0" fontId="19" fillId="3" borderId="1" xfId="0" applyFont="1" applyFill="1" applyBorder="1"/>
    <xf numFmtId="0" fontId="19" fillId="8" borderId="1" xfId="0" applyFont="1" applyFill="1" applyBorder="1"/>
    <xf numFmtId="0" fontId="18" fillId="12" borderId="1" xfId="0" applyFont="1" applyFill="1" applyBorder="1" applyAlignment="1">
      <alignment horizontal="center"/>
    </xf>
    <xf numFmtId="0" fontId="10" fillId="13" borderId="1" xfId="0" applyFont="1" applyFill="1" applyBorder="1"/>
    <xf numFmtId="0" fontId="10" fillId="14" borderId="2" xfId="0" applyFont="1" applyFill="1" applyBorder="1"/>
    <xf numFmtId="0" fontId="10" fillId="14" borderId="3" xfId="0" applyFont="1" applyFill="1" applyBorder="1"/>
    <xf numFmtId="3" fontId="19" fillId="8" borderId="1" xfId="0" applyNumberFormat="1" applyFont="1" applyFill="1" applyBorder="1"/>
    <xf numFmtId="168" fontId="10" fillId="0" borderId="1" xfId="0" applyNumberFormat="1" applyFont="1" applyBorder="1"/>
    <xf numFmtId="0" fontId="9" fillId="3" borderId="6" xfId="0" applyFont="1" applyFill="1" applyBorder="1"/>
    <xf numFmtId="0" fontId="0" fillId="0" borderId="5" xfId="0" applyBorder="1"/>
    <xf numFmtId="0" fontId="0" fillId="0" borderId="6" xfId="0" applyBorder="1"/>
    <xf numFmtId="0" fontId="20" fillId="14" borderId="7" xfId="0" applyFont="1" applyFill="1" applyBorder="1" applyAlignment="1">
      <alignment horizontal="center"/>
    </xf>
    <xf numFmtId="0" fontId="20" fillId="14" borderId="8" xfId="0" applyFont="1" applyFill="1" applyBorder="1" applyAlignment="1">
      <alignment horizontal="center"/>
    </xf>
    <xf numFmtId="0" fontId="20" fillId="14" borderId="9" xfId="0" applyFont="1" applyFill="1" applyBorder="1" applyAlignment="1">
      <alignment horizontal="center"/>
    </xf>
    <xf numFmtId="0" fontId="0" fillId="14" borderId="10" xfId="0" applyFill="1" applyBorder="1"/>
    <xf numFmtId="0" fontId="0" fillId="14" borderId="11" xfId="0" applyFill="1" applyBorder="1"/>
    <xf numFmtId="0" fontId="0" fillId="14" borderId="12" xfId="0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073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4</xdr:row>
          <xdr:rowOff>85725</xdr:rowOff>
        </xdr:from>
        <xdr:to>
          <xdr:col>7</xdr:col>
          <xdr:colOff>1266825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4</xdr:row>
          <xdr:rowOff>152400</xdr:rowOff>
        </xdr:from>
        <xdr:to>
          <xdr:col>11</xdr:col>
          <xdr:colOff>57150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238125</xdr:rowOff>
        </xdr:from>
        <xdr:to>
          <xdr:col>4</xdr:col>
          <xdr:colOff>247650</xdr:colOff>
          <xdr:row>6</xdr:row>
          <xdr:rowOff>57150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9</xdr:row>
          <xdr:rowOff>38100</xdr:rowOff>
        </xdr:from>
        <xdr:to>
          <xdr:col>4</xdr:col>
          <xdr:colOff>1009650</xdr:colOff>
          <xdr:row>9</xdr:row>
          <xdr:rowOff>400050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Cliente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4:H14"/>
  <sheetViews>
    <sheetView workbookViewId="0">
      <selection activeCell="H8" sqref="H8"/>
    </sheetView>
  </sheetViews>
  <sheetFormatPr baseColWidth="10" defaultColWidth="8.85546875" defaultRowHeight="15" x14ac:dyDescent="0.25"/>
  <cols>
    <col min="1" max="2" width="19.42578125" bestFit="1" customWidth="1"/>
    <col min="3" max="3" width="13.5703125" customWidth="1"/>
    <col min="4" max="4" width="13.85546875" customWidth="1"/>
    <col min="5" max="5" width="26.28515625" bestFit="1" customWidth="1"/>
    <col min="6" max="6" width="21.5703125" bestFit="1" customWidth="1"/>
    <col min="8" max="8" width="19" bestFit="1" customWidth="1"/>
    <col min="9" max="9" width="15.28515625" customWidth="1"/>
  </cols>
  <sheetData>
    <row r="4" spans="2:8" ht="25.5" x14ac:dyDescent="0.35">
      <c r="E4" s="36" t="s">
        <v>24</v>
      </c>
      <c r="F4" s="36"/>
    </row>
    <row r="5" spans="2:8" ht="21" customHeight="1" x14ac:dyDescent="0.25">
      <c r="E5" s="5" t="s">
        <v>16</v>
      </c>
      <c r="F5" s="8" t="s">
        <v>29</v>
      </c>
      <c r="H5" s="3"/>
    </row>
    <row r="6" spans="2:8" ht="21" customHeight="1" x14ac:dyDescent="0.25">
      <c r="E6" s="5" t="s">
        <v>18</v>
      </c>
      <c r="F6" s="8" t="s">
        <v>42</v>
      </c>
      <c r="H6" s="3"/>
    </row>
    <row r="7" spans="2:8" ht="21" customHeight="1" x14ac:dyDescent="0.25">
      <c r="B7" s="1" t="s">
        <v>12</v>
      </c>
      <c r="E7" s="5" t="s">
        <v>17</v>
      </c>
      <c r="F7" s="8">
        <v>3584598629</v>
      </c>
      <c r="H7" s="3"/>
    </row>
    <row r="8" spans="2:8" ht="21" customHeight="1" x14ac:dyDescent="0.25">
      <c r="B8" s="1" t="s">
        <v>13</v>
      </c>
      <c r="E8" s="5" t="s">
        <v>19</v>
      </c>
      <c r="F8" s="9">
        <v>45445</v>
      </c>
      <c r="H8" s="3"/>
    </row>
    <row r="9" spans="2:8" ht="21" customHeight="1" x14ac:dyDescent="0.25">
      <c r="B9" s="1" t="s">
        <v>14</v>
      </c>
      <c r="E9" s="5" t="s">
        <v>20</v>
      </c>
      <c r="F9" s="10">
        <v>0.41666666666666669</v>
      </c>
      <c r="H9" s="3"/>
    </row>
    <row r="10" spans="2:8" ht="21" customHeight="1" x14ac:dyDescent="0.25">
      <c r="B10" s="1" t="s">
        <v>15</v>
      </c>
      <c r="E10" s="5" t="s">
        <v>21</v>
      </c>
      <c r="F10" s="10">
        <v>0.66666666666666696</v>
      </c>
      <c r="H10" s="3"/>
    </row>
    <row r="11" spans="2:8" ht="22.15" customHeight="1" x14ac:dyDescent="0.25">
      <c r="E11" s="5" t="s">
        <v>27</v>
      </c>
      <c r="F11" s="8">
        <f>(F10-F9)*24</f>
        <v>6.0000000000000071</v>
      </c>
      <c r="H11" s="3"/>
    </row>
    <row r="12" spans="2:8" ht="21" customHeight="1" x14ac:dyDescent="0.25">
      <c r="E12" s="5" t="s">
        <v>22</v>
      </c>
      <c r="F12" s="8">
        <v>150</v>
      </c>
      <c r="H12" s="3"/>
    </row>
    <row r="13" spans="2:8" ht="21" customHeight="1" x14ac:dyDescent="0.25">
      <c r="E13" s="5" t="s">
        <v>23</v>
      </c>
      <c r="F13" s="11" t="s">
        <v>51</v>
      </c>
      <c r="H13" s="3"/>
    </row>
    <row r="14" spans="2:8" ht="19.5" x14ac:dyDescent="0.25">
      <c r="E14" s="5" t="s">
        <v>25</v>
      </c>
      <c r="F14" s="8">
        <v>900.00000000000102</v>
      </c>
    </row>
  </sheetData>
  <mergeCells count="1">
    <mergeCell ref="E4:F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scarYCopiarDatos">
                <anchor moveWithCells="1" sizeWithCells="1">
                  <from>
                    <xdr:col>7</xdr:col>
                    <xdr:colOff>142875</xdr:colOff>
                    <xdr:row>4</xdr:row>
                    <xdr:rowOff>85725</xdr:rowOff>
                  </from>
                  <to>
                    <xdr:col>7</xdr:col>
                    <xdr:colOff>1266825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A410-FF6D-4DBD-AA47-3FA989C1ACF1}">
  <sheetPr codeName="Hoja1"/>
  <dimension ref="B2:N14"/>
  <sheetViews>
    <sheetView zoomScaleNormal="100" workbookViewId="0">
      <selection activeCell="E10" sqref="E10"/>
    </sheetView>
  </sheetViews>
  <sheetFormatPr baseColWidth="10" defaultRowHeight="15" x14ac:dyDescent="0.25"/>
  <cols>
    <col min="1" max="1" width="8.140625" bestFit="1" customWidth="1"/>
    <col min="2" max="2" width="18.140625" customWidth="1"/>
    <col min="3" max="3" width="11.7109375" customWidth="1"/>
    <col min="4" max="4" width="11.140625" bestFit="1" customWidth="1"/>
    <col min="5" max="5" width="19.85546875" customWidth="1"/>
    <col min="6" max="6" width="14.28515625" customWidth="1"/>
    <col min="7" max="7" width="11.28515625" bestFit="1" customWidth="1"/>
    <col min="8" max="8" width="9" bestFit="1" customWidth="1"/>
    <col min="10" max="10" width="11.28515625" bestFit="1" customWidth="1"/>
    <col min="11" max="11" width="11.5703125" bestFit="1" customWidth="1"/>
    <col min="12" max="12" width="27.140625" bestFit="1" customWidth="1"/>
    <col min="13" max="13" width="19" bestFit="1" customWidth="1"/>
  </cols>
  <sheetData>
    <row r="2" spans="2:14" ht="25.5" x14ac:dyDescent="0.35">
      <c r="B2" s="37" t="s">
        <v>26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2:14" ht="30.75" x14ac:dyDescent="0.25">
      <c r="B3" s="4" t="s">
        <v>11</v>
      </c>
      <c r="C3" s="6" t="s">
        <v>0</v>
      </c>
      <c r="D3" s="6" t="s">
        <v>1</v>
      </c>
      <c r="E3" s="6" t="s">
        <v>4</v>
      </c>
      <c r="F3" s="6" t="s">
        <v>5</v>
      </c>
      <c r="G3" s="6" t="s">
        <v>2</v>
      </c>
      <c r="H3" s="6" t="s">
        <v>3</v>
      </c>
      <c r="I3" s="6" t="s">
        <v>52</v>
      </c>
      <c r="J3" s="6" t="s">
        <v>6</v>
      </c>
      <c r="K3" s="6" t="s">
        <v>7</v>
      </c>
      <c r="L3" s="6" t="s">
        <v>8</v>
      </c>
      <c r="M3" s="6" t="s">
        <v>9</v>
      </c>
    </row>
    <row r="4" spans="2:14" ht="30.75" x14ac:dyDescent="0.25">
      <c r="B4" s="7">
        <v>1</v>
      </c>
      <c r="C4" s="16">
        <v>45307</v>
      </c>
      <c r="D4" s="17" t="s">
        <v>36</v>
      </c>
      <c r="E4" s="17" t="s">
        <v>38</v>
      </c>
      <c r="F4" s="18">
        <v>3584598625</v>
      </c>
      <c r="G4" s="19">
        <v>0.375</v>
      </c>
      <c r="H4" s="19">
        <v>0.5</v>
      </c>
      <c r="I4" s="19" t="s">
        <v>53</v>
      </c>
      <c r="J4" s="17" t="s">
        <v>48</v>
      </c>
      <c r="K4" s="18">
        <v>150</v>
      </c>
      <c r="L4" s="19">
        <f>H4-G4</f>
        <v>0.125</v>
      </c>
      <c r="M4" s="18">
        <f t="shared" ref="M4:M13" si="0">IF(I4="Si",(L4*K4)*24+50,L4*K4*24)</f>
        <v>500</v>
      </c>
    </row>
    <row r="5" spans="2:14" ht="19.899999999999999" customHeight="1" x14ac:dyDescent="0.25">
      <c r="B5" s="7">
        <v>2</v>
      </c>
      <c r="C5" s="16">
        <v>45313</v>
      </c>
      <c r="D5" s="17" t="s">
        <v>35</v>
      </c>
      <c r="E5" s="17" t="s">
        <v>39</v>
      </c>
      <c r="F5" s="18">
        <v>3584598626</v>
      </c>
      <c r="G5" s="19">
        <v>0.5</v>
      </c>
      <c r="H5" s="19">
        <v>0.54166666666666696</v>
      </c>
      <c r="I5" s="19" t="s">
        <v>53</v>
      </c>
      <c r="J5" s="17" t="s">
        <v>49</v>
      </c>
      <c r="K5" s="18">
        <v>150</v>
      </c>
      <c r="L5" s="19">
        <f t="shared" ref="L5:L13" si="1">H5-G5</f>
        <v>4.1666666666666963E-2</v>
      </c>
      <c r="M5" s="18">
        <f t="shared" si="0"/>
        <v>200.00000000000108</v>
      </c>
    </row>
    <row r="6" spans="2:14" ht="30.75" x14ac:dyDescent="0.25">
      <c r="B6" s="7">
        <v>3</v>
      </c>
      <c r="C6" s="16">
        <v>45345</v>
      </c>
      <c r="D6" s="17" t="s">
        <v>37</v>
      </c>
      <c r="E6" s="17" t="s">
        <v>40</v>
      </c>
      <c r="F6" s="18">
        <v>3584598627</v>
      </c>
      <c r="G6" s="19">
        <v>0.41666666666666669</v>
      </c>
      <c r="H6" s="19">
        <v>0.58333333333333304</v>
      </c>
      <c r="I6" s="19" t="s">
        <v>53</v>
      </c>
      <c r="J6" s="17" t="s">
        <v>50</v>
      </c>
      <c r="K6" s="18">
        <v>150</v>
      </c>
      <c r="L6" s="19">
        <f t="shared" si="1"/>
        <v>0.16666666666666635</v>
      </c>
      <c r="M6" s="18">
        <f t="shared" si="0"/>
        <v>649.99999999999886</v>
      </c>
    </row>
    <row r="7" spans="2:14" ht="30.75" x14ac:dyDescent="0.25">
      <c r="B7" s="7">
        <v>4</v>
      </c>
      <c r="C7" s="16">
        <v>45355</v>
      </c>
      <c r="D7" s="17" t="s">
        <v>28</v>
      </c>
      <c r="E7" s="17" t="s">
        <v>41</v>
      </c>
      <c r="F7" s="18">
        <v>3584598628</v>
      </c>
      <c r="G7" s="19">
        <v>0.58333333333333337</v>
      </c>
      <c r="H7" s="19">
        <v>0.625</v>
      </c>
      <c r="I7" s="19" t="s">
        <v>54</v>
      </c>
      <c r="J7" s="17" t="s">
        <v>51</v>
      </c>
      <c r="K7" s="18">
        <v>150</v>
      </c>
      <c r="L7" s="19">
        <f t="shared" si="1"/>
        <v>4.166666666666663E-2</v>
      </c>
      <c r="M7" s="18">
        <f t="shared" si="0"/>
        <v>149.99999999999989</v>
      </c>
    </row>
    <row r="8" spans="2:14" ht="28.9" customHeight="1" x14ac:dyDescent="0.25">
      <c r="B8" s="7">
        <v>5</v>
      </c>
      <c r="C8" s="16">
        <v>45445</v>
      </c>
      <c r="D8" s="17" t="s">
        <v>29</v>
      </c>
      <c r="E8" s="17" t="s">
        <v>42</v>
      </c>
      <c r="F8" s="18">
        <v>3584598629</v>
      </c>
      <c r="G8" s="19">
        <v>0.41666666666666669</v>
      </c>
      <c r="H8" s="19">
        <v>0.66666666666666696</v>
      </c>
      <c r="I8" s="19" t="s">
        <v>54</v>
      </c>
      <c r="J8" s="17" t="s">
        <v>51</v>
      </c>
      <c r="K8" s="18">
        <v>150</v>
      </c>
      <c r="L8" s="19">
        <f t="shared" si="1"/>
        <v>0.25000000000000028</v>
      </c>
      <c r="M8" s="18">
        <f t="shared" si="0"/>
        <v>900.00000000000102</v>
      </c>
      <c r="N8" s="2"/>
    </row>
    <row r="9" spans="2:14" ht="30.75" x14ac:dyDescent="0.25">
      <c r="B9" s="7">
        <v>6</v>
      </c>
      <c r="C9" s="16">
        <v>45456</v>
      </c>
      <c r="D9" s="17" t="s">
        <v>30</v>
      </c>
      <c r="E9" s="17" t="s">
        <v>43</v>
      </c>
      <c r="F9" s="18">
        <v>3584598630</v>
      </c>
      <c r="G9" s="19">
        <v>0.625</v>
      </c>
      <c r="H9" s="19">
        <v>0.70833333333333304</v>
      </c>
      <c r="I9" s="19" t="s">
        <v>53</v>
      </c>
      <c r="J9" s="17" t="s">
        <v>50</v>
      </c>
      <c r="K9" s="18">
        <v>150</v>
      </c>
      <c r="L9" s="19">
        <f t="shared" si="1"/>
        <v>8.3333333333333037E-2</v>
      </c>
      <c r="M9" s="18">
        <f t="shared" si="0"/>
        <v>349.99999999999892</v>
      </c>
    </row>
    <row r="10" spans="2:14" ht="30.75" x14ac:dyDescent="0.25">
      <c r="B10" s="7">
        <v>7</v>
      </c>
      <c r="C10" s="16">
        <v>45488</v>
      </c>
      <c r="D10" s="17" t="s">
        <v>31</v>
      </c>
      <c r="E10" s="17" t="s">
        <v>44</v>
      </c>
      <c r="F10" s="18">
        <v>3584598631</v>
      </c>
      <c r="G10" s="19">
        <v>0.54166666666666663</v>
      </c>
      <c r="H10" s="19">
        <v>0.75</v>
      </c>
      <c r="I10" s="19" t="s">
        <v>53</v>
      </c>
      <c r="J10" s="17" t="s">
        <v>49</v>
      </c>
      <c r="K10" s="18">
        <v>150</v>
      </c>
      <c r="L10" s="19">
        <f t="shared" si="1"/>
        <v>0.20833333333333337</v>
      </c>
      <c r="M10" s="18">
        <f t="shared" si="0"/>
        <v>800.00000000000023</v>
      </c>
    </row>
    <row r="11" spans="2:14" ht="30.75" x14ac:dyDescent="0.25">
      <c r="B11" s="7">
        <v>8</v>
      </c>
      <c r="C11" s="16">
        <v>45503</v>
      </c>
      <c r="D11" s="17" t="s">
        <v>32</v>
      </c>
      <c r="E11" s="17" t="s">
        <v>45</v>
      </c>
      <c r="F11" s="18">
        <v>3584598632</v>
      </c>
      <c r="G11" s="19">
        <v>0.66666666666666663</v>
      </c>
      <c r="H11" s="19">
        <v>0.79166666666666696</v>
      </c>
      <c r="I11" s="19" t="s">
        <v>53</v>
      </c>
      <c r="J11" s="17" t="s">
        <v>49</v>
      </c>
      <c r="K11" s="18">
        <v>150</v>
      </c>
      <c r="L11" s="19">
        <f t="shared" si="1"/>
        <v>0.12500000000000033</v>
      </c>
      <c r="M11" s="18">
        <f t="shared" si="0"/>
        <v>500.00000000000119</v>
      </c>
    </row>
    <row r="12" spans="2:14" ht="30.75" x14ac:dyDescent="0.25">
      <c r="B12" s="7">
        <v>9</v>
      </c>
      <c r="C12" s="16">
        <v>45511</v>
      </c>
      <c r="D12" s="17" t="s">
        <v>33</v>
      </c>
      <c r="E12" s="17" t="s">
        <v>46</v>
      </c>
      <c r="F12" s="18">
        <v>3584598633</v>
      </c>
      <c r="G12" s="19">
        <v>0.75</v>
      </c>
      <c r="H12" s="19">
        <v>0.79166666666666663</v>
      </c>
      <c r="I12" s="19" t="s">
        <v>53</v>
      </c>
      <c r="J12" s="17" t="s">
        <v>48</v>
      </c>
      <c r="K12" s="18">
        <v>150</v>
      </c>
      <c r="L12" s="19">
        <f t="shared" si="1"/>
        <v>4.166666666666663E-2</v>
      </c>
      <c r="M12" s="18">
        <f t="shared" si="0"/>
        <v>199.99999999999989</v>
      </c>
    </row>
    <row r="13" spans="2:14" ht="30.75" x14ac:dyDescent="0.25">
      <c r="B13" s="7">
        <v>10</v>
      </c>
      <c r="C13" s="16">
        <v>45530</v>
      </c>
      <c r="D13" s="17" t="s">
        <v>34</v>
      </c>
      <c r="E13" s="17" t="s">
        <v>47</v>
      </c>
      <c r="F13" s="18">
        <v>3584598634</v>
      </c>
      <c r="G13" s="19">
        <v>0.66666666666666663</v>
      </c>
      <c r="H13" s="19">
        <v>0.79166666666666663</v>
      </c>
      <c r="I13" s="19" t="s">
        <v>53</v>
      </c>
      <c r="J13" s="17" t="s">
        <v>50</v>
      </c>
      <c r="K13" s="18">
        <v>150</v>
      </c>
      <c r="L13" s="19">
        <f t="shared" si="1"/>
        <v>0.125</v>
      </c>
      <c r="M13" s="18">
        <f t="shared" si="0"/>
        <v>500</v>
      </c>
    </row>
    <row r="14" spans="2:14" ht="27" x14ac:dyDescent="0.35">
      <c r="B14" s="12" t="s">
        <v>55</v>
      </c>
      <c r="C14" s="12"/>
      <c r="D14" s="13"/>
      <c r="E14" s="13"/>
      <c r="L14" s="14" t="s">
        <v>10</v>
      </c>
      <c r="M14" s="15">
        <f>SUM(M4:M13)</f>
        <v>4750.0000000000009</v>
      </c>
    </row>
  </sheetData>
  <mergeCells count="1">
    <mergeCell ref="B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08140-E480-4CCA-89DB-689DD4686B09}">
  <sheetPr codeName="Hoja3"/>
  <dimension ref="G4:H7"/>
  <sheetViews>
    <sheetView workbookViewId="0">
      <selection activeCell="G15" sqref="G15"/>
    </sheetView>
  </sheetViews>
  <sheetFormatPr baseColWidth="10" defaultRowHeight="15" x14ac:dyDescent="0.25"/>
  <cols>
    <col min="7" max="7" width="23.7109375" bestFit="1" customWidth="1"/>
    <col min="8" max="8" width="24.42578125" customWidth="1"/>
  </cols>
  <sheetData>
    <row r="4" spans="7:8" ht="31.9" customHeight="1" x14ac:dyDescent="0.25">
      <c r="G4" s="38" t="s">
        <v>60</v>
      </c>
      <c r="H4" s="39"/>
    </row>
    <row r="5" spans="7:8" ht="28.9" customHeight="1" x14ac:dyDescent="0.25">
      <c r="G5" s="24" t="s">
        <v>61</v>
      </c>
      <c r="H5" s="1"/>
    </row>
    <row r="6" spans="7:8" ht="28.9" customHeight="1" x14ac:dyDescent="0.25">
      <c r="G6" s="24" t="s">
        <v>0</v>
      </c>
      <c r="H6" s="25"/>
    </row>
    <row r="7" spans="7:8" ht="28.9" customHeight="1" x14ac:dyDescent="0.25">
      <c r="G7" s="24" t="s">
        <v>62</v>
      </c>
      <c r="H7" s="1"/>
    </row>
  </sheetData>
  <mergeCells count="1">
    <mergeCell ref="G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argarVendedor">
                <anchor moveWithCells="1" sizeWithCells="1">
                  <from>
                    <xdr:col>9</xdr:col>
                    <xdr:colOff>485775</xdr:colOff>
                    <xdr:row>4</xdr:row>
                    <xdr:rowOff>152400</xdr:rowOff>
                  </from>
                  <to>
                    <xdr:col>11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DA7C-0029-451C-9E3A-92854C4F9723}">
  <sheetPr codeName="Hoja8"/>
  <dimension ref="A1:I12"/>
  <sheetViews>
    <sheetView workbookViewId="0">
      <selection activeCell="F5" sqref="F5"/>
    </sheetView>
  </sheetViews>
  <sheetFormatPr baseColWidth="10" defaultRowHeight="15" x14ac:dyDescent="0.25"/>
  <cols>
    <col min="1" max="1" width="22.85546875" bestFit="1" customWidth="1"/>
    <col min="2" max="2" width="22.85546875" customWidth="1"/>
    <col min="3" max="3" width="22.85546875" style="30" customWidth="1"/>
    <col min="4" max="4" width="22.85546875" customWidth="1"/>
    <col min="5" max="5" width="27.5703125" bestFit="1" customWidth="1"/>
    <col min="6" max="6" width="25.28515625" bestFit="1" customWidth="1"/>
    <col min="7" max="7" width="25.28515625" customWidth="1"/>
    <col min="8" max="8" width="20.5703125" bestFit="1" customWidth="1"/>
  </cols>
  <sheetData>
    <row r="1" spans="1:9" ht="22.5" x14ac:dyDescent="0.3">
      <c r="A1" s="40" t="s">
        <v>66</v>
      </c>
      <c r="B1" s="41"/>
      <c r="C1" s="41"/>
      <c r="D1" s="41"/>
      <c r="E1" s="41"/>
      <c r="F1" s="41"/>
      <c r="G1" s="41"/>
      <c r="H1" s="41"/>
    </row>
    <row r="2" spans="1:9" ht="27" customHeight="1" x14ac:dyDescent="0.25">
      <c r="A2" s="21" t="s">
        <v>58</v>
      </c>
      <c r="B2" s="21" t="s">
        <v>0</v>
      </c>
      <c r="C2" s="29" t="s">
        <v>56</v>
      </c>
      <c r="D2" s="21" t="s">
        <v>64</v>
      </c>
      <c r="E2" s="21" t="s">
        <v>63</v>
      </c>
      <c r="F2" s="21" t="s">
        <v>59</v>
      </c>
      <c r="G2" s="21" t="s">
        <v>68</v>
      </c>
      <c r="H2" s="21" t="s">
        <v>67</v>
      </c>
    </row>
    <row r="3" spans="1:9" ht="18" x14ac:dyDescent="0.25">
      <c r="A3" s="22" t="s">
        <v>65</v>
      </c>
      <c r="B3" s="26">
        <v>45292</v>
      </c>
      <c r="C3" s="33" t="s">
        <v>70</v>
      </c>
      <c r="D3" s="27">
        <v>1000</v>
      </c>
      <c r="E3" s="22">
        <v>270</v>
      </c>
      <c r="F3" s="28">
        <v>100</v>
      </c>
      <c r="G3" s="28">
        <f>F3*E3</f>
        <v>27000</v>
      </c>
      <c r="H3" s="32">
        <f>D3*E3</f>
        <v>270000</v>
      </c>
    </row>
    <row r="4" spans="1:9" ht="18" x14ac:dyDescent="0.25">
      <c r="A4" s="22" t="s">
        <v>69</v>
      </c>
      <c r="B4" s="26">
        <v>45414</v>
      </c>
      <c r="C4" s="33" t="s">
        <v>57</v>
      </c>
      <c r="D4" s="27">
        <v>1000</v>
      </c>
      <c r="E4" s="22">
        <v>250</v>
      </c>
      <c r="F4" s="28">
        <v>100</v>
      </c>
      <c r="G4" s="28">
        <f t="shared" ref="G4:G11" si="0">F4*E4</f>
        <v>25000</v>
      </c>
      <c r="H4" s="32">
        <f t="shared" ref="H4:H11" si="1">D4*E4</f>
        <v>250000</v>
      </c>
      <c r="I4" s="35"/>
    </row>
    <row r="5" spans="1:9" ht="18" x14ac:dyDescent="0.25">
      <c r="A5" s="22" t="s">
        <v>73</v>
      </c>
      <c r="B5" s="26">
        <v>45651</v>
      </c>
      <c r="C5" s="33" t="s">
        <v>74</v>
      </c>
      <c r="D5" s="27">
        <v>1000</v>
      </c>
      <c r="E5" s="22">
        <v>67</v>
      </c>
      <c r="F5" s="28">
        <v>100</v>
      </c>
      <c r="G5" s="28">
        <f t="shared" si="0"/>
        <v>6700</v>
      </c>
      <c r="H5" s="32">
        <f t="shared" si="1"/>
        <v>67000</v>
      </c>
    </row>
    <row r="6" spans="1:9" ht="18" x14ac:dyDescent="0.25">
      <c r="A6" s="22" t="s">
        <v>75</v>
      </c>
      <c r="B6" s="26">
        <v>45495</v>
      </c>
      <c r="C6" s="33" t="s">
        <v>76</v>
      </c>
      <c r="D6" s="27">
        <v>1000</v>
      </c>
      <c r="E6" s="22">
        <v>162</v>
      </c>
      <c r="F6" s="28">
        <v>100</v>
      </c>
      <c r="G6" s="28">
        <f t="shared" si="0"/>
        <v>16200</v>
      </c>
      <c r="H6" s="32">
        <f t="shared" si="1"/>
        <v>162000</v>
      </c>
    </row>
    <row r="7" spans="1:9" ht="18" x14ac:dyDescent="0.25">
      <c r="A7" s="22" t="s">
        <v>77</v>
      </c>
      <c r="B7" s="26">
        <v>45618</v>
      </c>
      <c r="C7" s="33" t="s">
        <v>78</v>
      </c>
      <c r="D7" s="27">
        <v>1000</v>
      </c>
      <c r="E7" s="22">
        <v>158</v>
      </c>
      <c r="F7" s="28">
        <v>100</v>
      </c>
      <c r="G7" s="28">
        <f t="shared" si="0"/>
        <v>15800</v>
      </c>
      <c r="H7" s="32">
        <f t="shared" si="1"/>
        <v>158000</v>
      </c>
    </row>
    <row r="8" spans="1:9" ht="18" x14ac:dyDescent="0.25">
      <c r="A8" s="22" t="s">
        <v>79</v>
      </c>
      <c r="B8" s="26">
        <v>45334</v>
      </c>
      <c r="C8" s="33" t="s">
        <v>80</v>
      </c>
      <c r="D8" s="27">
        <v>1000</v>
      </c>
      <c r="E8" s="22">
        <v>421</v>
      </c>
      <c r="F8" s="28">
        <v>100</v>
      </c>
      <c r="G8" s="28">
        <f t="shared" si="0"/>
        <v>42100</v>
      </c>
      <c r="H8" s="32">
        <f t="shared" si="1"/>
        <v>421000</v>
      </c>
    </row>
    <row r="9" spans="1:9" ht="18" x14ac:dyDescent="0.25">
      <c r="A9" s="22" t="s">
        <v>83</v>
      </c>
      <c r="B9" s="26">
        <v>45540</v>
      </c>
      <c r="C9" s="33" t="s">
        <v>84</v>
      </c>
      <c r="D9" s="27">
        <v>1000</v>
      </c>
      <c r="E9" s="22">
        <v>364</v>
      </c>
      <c r="F9" s="28">
        <v>100</v>
      </c>
      <c r="G9" s="28">
        <f t="shared" si="0"/>
        <v>36400</v>
      </c>
      <c r="H9" s="32">
        <f t="shared" si="1"/>
        <v>364000</v>
      </c>
    </row>
    <row r="10" spans="1:9" ht="18" x14ac:dyDescent="0.25">
      <c r="A10" s="20" t="s">
        <v>85</v>
      </c>
      <c r="B10" s="45">
        <v>45586</v>
      </c>
      <c r="C10" s="33" t="s">
        <v>86</v>
      </c>
      <c r="D10" s="28">
        <v>1000</v>
      </c>
      <c r="E10" s="20">
        <v>98</v>
      </c>
      <c r="F10" s="28">
        <v>100</v>
      </c>
      <c r="G10" s="28">
        <f t="shared" si="0"/>
        <v>9800</v>
      </c>
      <c r="H10" s="32">
        <f t="shared" si="1"/>
        <v>98000</v>
      </c>
    </row>
    <row r="11" spans="1:9" ht="18" x14ac:dyDescent="0.25">
      <c r="A11" s="20" t="s">
        <v>87</v>
      </c>
      <c r="B11" s="45">
        <v>45328</v>
      </c>
      <c r="C11" s="33" t="s">
        <v>80</v>
      </c>
      <c r="D11" s="28">
        <v>1000</v>
      </c>
      <c r="E11" s="20">
        <v>216</v>
      </c>
      <c r="F11" s="28">
        <v>100</v>
      </c>
      <c r="G11" s="28">
        <f t="shared" si="0"/>
        <v>21600</v>
      </c>
      <c r="H11" s="32">
        <f t="shared" si="1"/>
        <v>216000</v>
      </c>
    </row>
    <row r="12" spans="1:9" x14ac:dyDescent="0.25">
      <c r="A12" s="23"/>
      <c r="B12" s="23"/>
      <c r="C12" s="31"/>
      <c r="D12" s="23"/>
      <c r="E12" s="23"/>
      <c r="F12" s="23"/>
      <c r="G12" s="23"/>
      <c r="H12" s="23"/>
    </row>
  </sheetData>
  <mergeCells count="1">
    <mergeCell ref="A1:H1"/>
  </mergeCells>
  <dataValidations count="1">
    <dataValidation type="custom" allowBlank="1" showInputMessage="1" showErrorMessage="1" sqref="A1:B1048576" xr:uid="{5DE71A4B-6AE6-4931-A3DD-4620A0B2E14C}">
      <formula1>"ValidarVendedorFecha(A2,B2)"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56C6E-D599-49E0-B632-ADE94AA6D08E}">
  <sheetPr codeName="Hoja10"/>
  <dimension ref="A1:H8"/>
  <sheetViews>
    <sheetView workbookViewId="0">
      <selection activeCell="H9" sqref="H9"/>
    </sheetView>
  </sheetViews>
  <sheetFormatPr baseColWidth="10" defaultRowHeight="15" x14ac:dyDescent="0.25"/>
  <cols>
    <col min="1" max="1" width="26" bestFit="1" customWidth="1"/>
    <col min="2" max="2" width="13.28515625" bestFit="1" customWidth="1"/>
    <col min="3" max="3" width="27.7109375" bestFit="1" customWidth="1"/>
    <col min="4" max="4" width="26" bestFit="1" customWidth="1"/>
    <col min="6" max="6" width="18.28515625" bestFit="1" customWidth="1"/>
    <col min="7" max="7" width="39" bestFit="1" customWidth="1"/>
    <col min="8" max="8" width="22.140625" customWidth="1"/>
  </cols>
  <sheetData>
    <row r="1" spans="1:8" ht="19.5" x14ac:dyDescent="0.25">
      <c r="A1" s="21" t="s">
        <v>72</v>
      </c>
      <c r="B1" s="43" t="s">
        <v>56</v>
      </c>
      <c r="C1" s="44" t="s">
        <v>71</v>
      </c>
    </row>
    <row r="2" spans="1:8" ht="19.5" x14ac:dyDescent="0.25">
      <c r="A2" s="8" t="s">
        <v>73</v>
      </c>
      <c r="B2" s="8" t="s">
        <v>74</v>
      </c>
      <c r="C2" s="34">
        <v>60300</v>
      </c>
    </row>
    <row r="6" spans="1:8" ht="30" customHeight="1" x14ac:dyDescent="0.25">
      <c r="G6" s="21" t="s">
        <v>81</v>
      </c>
      <c r="H6" s="42">
        <v>200000</v>
      </c>
    </row>
    <row r="7" spans="1:8" ht="30" customHeight="1" x14ac:dyDescent="0.25">
      <c r="G7" s="21" t="s">
        <v>82</v>
      </c>
      <c r="H7" s="42">
        <f>C2-H6</f>
        <v>-139700</v>
      </c>
    </row>
    <row r="8" spans="1:8" ht="16.149999999999999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BuscarVendedorYMostrarDatos">
                <anchor moveWithCells="1" sizeWithCells="1">
                  <from>
                    <xdr:col>3</xdr:col>
                    <xdr:colOff>723900</xdr:colOff>
                    <xdr:row>0</xdr:row>
                    <xdr:rowOff>238125</xdr:rowOff>
                  </from>
                  <to>
                    <xdr:col>4</xdr:col>
                    <xdr:colOff>247650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90C4-1A75-416F-AFE7-8D80FB06ABBA}">
  <sheetPr codeName="Hoja4"/>
  <dimension ref="A1:H16"/>
  <sheetViews>
    <sheetView tabSelected="1" workbookViewId="0">
      <selection activeCell="I7" sqref="I7"/>
    </sheetView>
  </sheetViews>
  <sheetFormatPr baseColWidth="10" defaultRowHeight="15" x14ac:dyDescent="0.25"/>
  <cols>
    <col min="2" max="2" width="25.140625" bestFit="1" customWidth="1"/>
    <col min="3" max="3" width="21.7109375" bestFit="1" customWidth="1"/>
    <col min="4" max="4" width="14.85546875" bestFit="1" customWidth="1"/>
    <col min="5" max="5" width="16.140625" bestFit="1" customWidth="1"/>
    <col min="6" max="6" width="17.5703125" customWidth="1"/>
  </cols>
  <sheetData>
    <row r="1" spans="1:8" ht="53.25" customHeight="1" x14ac:dyDescent="0.35">
      <c r="A1" s="59" t="s">
        <v>88</v>
      </c>
      <c r="B1" s="60"/>
      <c r="C1" s="60"/>
      <c r="D1" s="60"/>
      <c r="E1" s="60"/>
      <c r="F1" s="61"/>
    </row>
    <row r="2" spans="1:8" ht="18.75" customHeight="1" thickBot="1" x14ac:dyDescent="0.3">
      <c r="A2" s="62"/>
      <c r="B2" s="63"/>
      <c r="C2" s="63"/>
      <c r="D2" s="63"/>
      <c r="E2" s="63"/>
      <c r="F2" s="64"/>
    </row>
    <row r="3" spans="1:8" ht="18.75" customHeight="1" x14ac:dyDescent="0.25">
      <c r="A3" s="56" t="s">
        <v>89</v>
      </c>
      <c r="B3" s="56" t="s">
        <v>90</v>
      </c>
      <c r="C3" s="56" t="s">
        <v>91</v>
      </c>
      <c r="D3" s="56" t="s">
        <v>92</v>
      </c>
      <c r="E3" s="56" t="s">
        <v>93</v>
      </c>
      <c r="F3" s="56" t="s">
        <v>56</v>
      </c>
    </row>
    <row r="4" spans="1:8" ht="18.75" customHeight="1" x14ac:dyDescent="0.25">
      <c r="A4" s="8" t="s">
        <v>107</v>
      </c>
      <c r="B4" s="8" t="s">
        <v>103</v>
      </c>
      <c r="C4" s="8" t="s">
        <v>106</v>
      </c>
      <c r="D4" s="8">
        <v>40</v>
      </c>
      <c r="E4" s="55">
        <v>800000</v>
      </c>
      <c r="F4" s="8" t="s">
        <v>105</v>
      </c>
      <c r="H4" s="57"/>
    </row>
    <row r="5" spans="1:8" ht="18.75" customHeight="1" x14ac:dyDescent="0.25">
      <c r="A5" s="8" t="s">
        <v>109</v>
      </c>
      <c r="B5" s="8" t="s">
        <v>108</v>
      </c>
      <c r="C5" s="8" t="s">
        <v>104</v>
      </c>
      <c r="D5" s="8">
        <v>40</v>
      </c>
      <c r="E5" s="55">
        <v>750000</v>
      </c>
      <c r="F5" s="8" t="s">
        <v>105</v>
      </c>
      <c r="H5" s="58"/>
    </row>
    <row r="6" spans="1:8" ht="18.75" customHeight="1" x14ac:dyDescent="0.25">
      <c r="A6" s="8" t="s">
        <v>112</v>
      </c>
      <c r="B6" s="8" t="s">
        <v>110</v>
      </c>
      <c r="C6" s="8" t="s">
        <v>111</v>
      </c>
      <c r="D6" s="8">
        <v>40</v>
      </c>
      <c r="E6" s="55">
        <v>780000</v>
      </c>
      <c r="F6" s="8" t="s">
        <v>105</v>
      </c>
    </row>
    <row r="7" spans="1:8" ht="18.75" customHeight="1" x14ac:dyDescent="0.25">
      <c r="A7" s="8" t="s">
        <v>115</v>
      </c>
      <c r="B7" s="8" t="s">
        <v>113</v>
      </c>
      <c r="C7" s="8" t="s">
        <v>114</v>
      </c>
      <c r="D7" s="8">
        <v>40</v>
      </c>
      <c r="E7" s="55">
        <v>700000</v>
      </c>
      <c r="F7" s="8" t="s">
        <v>105</v>
      </c>
    </row>
    <row r="8" spans="1:8" ht="18.75" customHeight="1" x14ac:dyDescent="0.25">
      <c r="A8" s="8"/>
      <c r="B8" s="8"/>
      <c r="C8" s="8"/>
      <c r="D8" s="8"/>
      <c r="E8" s="55"/>
      <c r="F8" s="8"/>
    </row>
    <row r="9" spans="1:8" ht="18.75" customHeight="1" x14ac:dyDescent="0.25">
      <c r="A9" s="8"/>
      <c r="B9" s="8"/>
      <c r="C9" s="8"/>
      <c r="D9" s="8"/>
      <c r="E9" s="55"/>
      <c r="F9" s="8"/>
    </row>
    <row r="10" spans="1:8" ht="18.75" customHeight="1" x14ac:dyDescent="0.25">
      <c r="A10" s="8"/>
      <c r="B10" s="8"/>
      <c r="C10" s="8"/>
      <c r="D10" s="8"/>
      <c r="E10" s="55"/>
      <c r="F10" s="8"/>
    </row>
    <row r="11" spans="1:8" ht="18.75" customHeight="1" x14ac:dyDescent="0.25">
      <c r="A11" s="8"/>
      <c r="B11" s="8"/>
      <c r="C11" s="8"/>
      <c r="D11" s="8"/>
      <c r="E11" s="55"/>
      <c r="F11" s="8"/>
    </row>
    <row r="12" spans="1:8" ht="18.75" customHeight="1" x14ac:dyDescent="0.25">
      <c r="A12" s="8"/>
      <c r="B12" s="8"/>
      <c r="C12" s="8"/>
      <c r="D12" s="8"/>
      <c r="E12" s="55"/>
      <c r="F12" s="8"/>
    </row>
    <row r="13" spans="1:8" ht="18.75" customHeight="1" x14ac:dyDescent="0.25">
      <c r="A13" s="8"/>
      <c r="B13" s="8"/>
      <c r="C13" s="8"/>
      <c r="D13" s="8"/>
      <c r="E13" s="55"/>
      <c r="F13" s="8"/>
    </row>
    <row r="14" spans="1:8" ht="18.75" customHeight="1" x14ac:dyDescent="0.25">
      <c r="A14" s="8"/>
      <c r="B14" s="8"/>
      <c r="C14" s="8"/>
      <c r="D14" s="8"/>
      <c r="E14" s="55"/>
      <c r="F14" s="8"/>
    </row>
    <row r="15" spans="1:8" ht="18.75" customHeight="1" x14ac:dyDescent="0.25">
      <c r="A15" s="8"/>
      <c r="B15" s="8"/>
      <c r="C15" s="8"/>
      <c r="D15" s="8"/>
      <c r="E15" s="55"/>
      <c r="F15" s="8"/>
    </row>
    <row r="16" spans="1:8" ht="18.75" customHeight="1" x14ac:dyDescent="0.25">
      <c r="A16" s="8"/>
      <c r="B16" s="8"/>
      <c r="C16" s="8"/>
      <c r="D16" s="8"/>
      <c r="E16" s="55"/>
      <c r="F16" s="8"/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F94D-BC64-4C73-A575-38D06F793C4F}">
  <sheetPr codeName="Hoja5"/>
  <dimension ref="D3:E10"/>
  <sheetViews>
    <sheetView workbookViewId="0">
      <selection activeCell="E9" sqref="E9"/>
    </sheetView>
  </sheetViews>
  <sheetFormatPr baseColWidth="10" defaultRowHeight="15" x14ac:dyDescent="0.25"/>
  <cols>
    <col min="4" max="4" width="31.7109375" bestFit="1" customWidth="1"/>
    <col min="5" max="5" width="36" customWidth="1"/>
  </cols>
  <sheetData>
    <row r="3" spans="4:5" ht="27" x14ac:dyDescent="0.35">
      <c r="D3" s="46" t="s">
        <v>94</v>
      </c>
      <c r="E3" s="46"/>
    </row>
    <row r="4" spans="4:5" ht="27" x14ac:dyDescent="0.35">
      <c r="D4" s="48" t="s">
        <v>95</v>
      </c>
      <c r="E4" s="49"/>
    </row>
    <row r="5" spans="4:5" ht="27" x14ac:dyDescent="0.35">
      <c r="D5" s="48" t="s">
        <v>96</v>
      </c>
      <c r="E5" s="49"/>
    </row>
    <row r="6" spans="4:5" ht="27" x14ac:dyDescent="0.35">
      <c r="D6" s="48" t="s">
        <v>97</v>
      </c>
      <c r="E6" s="49"/>
    </row>
    <row r="7" spans="4:5" ht="27" x14ac:dyDescent="0.35">
      <c r="D7" s="48" t="s">
        <v>98</v>
      </c>
      <c r="E7" s="49"/>
    </row>
    <row r="8" spans="4:5" ht="27" x14ac:dyDescent="0.35">
      <c r="D8" s="48" t="s">
        <v>93</v>
      </c>
      <c r="E8" s="54"/>
    </row>
    <row r="9" spans="4:5" ht="27" x14ac:dyDescent="0.35">
      <c r="D9" s="48" t="s">
        <v>56</v>
      </c>
      <c r="E9" s="49"/>
    </row>
    <row r="10" spans="4:5" ht="35.25" customHeight="1" x14ac:dyDescent="0.45">
      <c r="D10" s="47"/>
      <c r="E10" s="47"/>
    </row>
  </sheetData>
  <mergeCells count="2">
    <mergeCell ref="D3:E3"/>
    <mergeCell ref="D10:E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ransferir">
                <anchor moveWithCells="1" sizeWithCells="1">
                  <from>
                    <xdr:col>3</xdr:col>
                    <xdr:colOff>1162050</xdr:colOff>
                    <xdr:row>9</xdr:row>
                    <xdr:rowOff>38100</xdr:rowOff>
                  </from>
                  <to>
                    <xdr:col>4</xdr:col>
                    <xdr:colOff>1009650</xdr:colOff>
                    <xdr:row>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424-A460-4A68-9CE8-B48355E97368}">
  <sheetPr codeName="Hoja6"/>
  <dimension ref="B5:D12"/>
  <sheetViews>
    <sheetView workbookViewId="0">
      <selection activeCell="C10" sqref="C10:D10"/>
    </sheetView>
  </sheetViews>
  <sheetFormatPr baseColWidth="10" defaultRowHeight="15" x14ac:dyDescent="0.25"/>
  <cols>
    <col min="2" max="2" width="21.5703125" bestFit="1" customWidth="1"/>
  </cols>
  <sheetData>
    <row r="5" spans="2:4" ht="25.5" x14ac:dyDescent="0.35">
      <c r="B5" s="50" t="s">
        <v>99</v>
      </c>
      <c r="C5" s="50"/>
      <c r="D5" s="50"/>
    </row>
    <row r="6" spans="2:4" ht="19.5" x14ac:dyDescent="0.25">
      <c r="B6" s="51" t="s">
        <v>61</v>
      </c>
      <c r="C6" s="52"/>
      <c r="D6" s="53"/>
    </row>
    <row r="7" spans="2:4" ht="19.5" x14ac:dyDescent="0.25">
      <c r="B7" s="51" t="s">
        <v>91</v>
      </c>
      <c r="C7" s="52"/>
      <c r="D7" s="53"/>
    </row>
    <row r="8" spans="2:4" ht="19.5" x14ac:dyDescent="0.25">
      <c r="B8" s="51" t="s">
        <v>100</v>
      </c>
      <c r="C8" s="52"/>
      <c r="D8" s="53"/>
    </row>
    <row r="9" spans="2:4" ht="19.5" x14ac:dyDescent="0.25">
      <c r="B9" s="51" t="s">
        <v>101</v>
      </c>
      <c r="C9" s="52"/>
      <c r="D9" s="53"/>
    </row>
    <row r="10" spans="2:4" ht="19.5" x14ac:dyDescent="0.25">
      <c r="B10" s="51" t="s">
        <v>93</v>
      </c>
      <c r="C10" s="52"/>
      <c r="D10" s="53"/>
    </row>
    <row r="11" spans="2:4" ht="19.5" x14ac:dyDescent="0.25">
      <c r="B11" s="51" t="s">
        <v>56</v>
      </c>
      <c r="C11" s="52"/>
      <c r="D11" s="53"/>
    </row>
    <row r="12" spans="2:4" ht="19.5" x14ac:dyDescent="0.25">
      <c r="B12" s="51" t="s">
        <v>102</v>
      </c>
      <c r="C12" s="52"/>
      <c r="D12" s="53"/>
    </row>
  </sheetData>
  <mergeCells count="8">
    <mergeCell ref="B5:D5"/>
    <mergeCell ref="C6:D6"/>
    <mergeCell ref="C7:D7"/>
    <mergeCell ref="C8:D8"/>
    <mergeCell ref="C9:D9"/>
    <mergeCell ref="C10:D10"/>
    <mergeCell ref="C11:D11"/>
    <mergeCell ref="C12:D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Consulta(ej9)</vt:lpstr>
      <vt:lpstr>Base de datos(ej9)</vt:lpstr>
      <vt:lpstr>Carga</vt:lpstr>
      <vt:lpstr>Datos de los vendedores(ej4)</vt:lpstr>
      <vt:lpstr>Consulta</vt:lpstr>
      <vt:lpstr>Ficha Empleados</vt:lpstr>
      <vt:lpstr>Carga Empleados</vt:lpstr>
      <vt:lpstr>Consulta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Ambrogio</dc:creator>
  <cp:lastModifiedBy>Francisco Ambrogio</cp:lastModifiedBy>
  <dcterms:created xsi:type="dcterms:W3CDTF">2015-06-05T18:19:34Z</dcterms:created>
  <dcterms:modified xsi:type="dcterms:W3CDTF">2024-09-14T01:24:22Z</dcterms:modified>
</cp:coreProperties>
</file>