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ranc\OneDrive\Documentos\itec_desarollo_de_software\matematica_y_logica_2024\"/>
    </mc:Choice>
  </mc:AlternateContent>
  <xr:revisionPtr revIDLastSave="0" documentId="13_ncr:1_{D24DF120-5ABD-4AFE-BDF3-9E2278EA13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3" i="1" l="1"/>
  <c r="M33" i="1" s="1"/>
  <c r="O34" i="1"/>
  <c r="O35" i="1"/>
  <c r="O36" i="1"/>
  <c r="O37" i="1"/>
  <c r="O38" i="1"/>
  <c r="O39" i="1"/>
  <c r="O32" i="1"/>
  <c r="U33" i="1"/>
  <c r="U34" i="1"/>
  <c r="U35" i="1"/>
  <c r="U36" i="1"/>
  <c r="U37" i="1"/>
  <c r="S37" i="1" s="1"/>
  <c r="U38" i="1"/>
  <c r="S38" i="1" s="1"/>
  <c r="U39" i="1"/>
  <c r="S39" i="1" s="1"/>
  <c r="U32" i="1"/>
  <c r="S33" i="1"/>
  <c r="S34" i="1"/>
  <c r="S35" i="1"/>
  <c r="S36" i="1"/>
  <c r="S32" i="1"/>
  <c r="V39" i="1"/>
  <c r="T39" i="1"/>
  <c r="R39" i="1"/>
  <c r="V38" i="1"/>
  <c r="T38" i="1"/>
  <c r="R38" i="1"/>
  <c r="V37" i="1"/>
  <c r="T37" i="1"/>
  <c r="R37" i="1"/>
  <c r="V36" i="1"/>
  <c r="T36" i="1"/>
  <c r="R36" i="1"/>
  <c r="V35" i="1"/>
  <c r="T35" i="1"/>
  <c r="R35" i="1"/>
  <c r="V34" i="1"/>
  <c r="T34" i="1"/>
  <c r="R34" i="1"/>
  <c r="V33" i="1"/>
  <c r="T33" i="1"/>
  <c r="R33" i="1"/>
  <c r="V32" i="1"/>
  <c r="T32" i="1"/>
  <c r="R32" i="1"/>
  <c r="M34" i="1"/>
  <c r="M35" i="1"/>
  <c r="M36" i="1"/>
  <c r="M37" i="1"/>
  <c r="M38" i="1"/>
  <c r="M39" i="1"/>
  <c r="M32" i="1"/>
  <c r="G33" i="1"/>
  <c r="G34" i="1"/>
  <c r="G35" i="1"/>
  <c r="G36" i="1"/>
  <c r="G37" i="1"/>
  <c r="G38" i="1"/>
  <c r="G39" i="1"/>
  <c r="G32" i="1"/>
  <c r="I33" i="1"/>
  <c r="I34" i="1"/>
  <c r="I35" i="1"/>
  <c r="I36" i="1"/>
  <c r="I37" i="1"/>
  <c r="I38" i="1"/>
  <c r="I39" i="1"/>
  <c r="I32" i="1"/>
  <c r="J39" i="1"/>
  <c r="J38" i="1"/>
  <c r="J37" i="1"/>
  <c r="J36" i="1"/>
  <c r="J35" i="1"/>
  <c r="J34" i="1"/>
  <c r="J33" i="1"/>
  <c r="J32" i="1"/>
  <c r="H39" i="1"/>
  <c r="H38" i="1"/>
  <c r="H37" i="1"/>
  <c r="H36" i="1"/>
  <c r="H35" i="1"/>
  <c r="H34" i="1"/>
  <c r="H33" i="1"/>
  <c r="H32" i="1"/>
  <c r="F39" i="1"/>
  <c r="F38" i="1"/>
  <c r="F37" i="1"/>
  <c r="F36" i="1"/>
  <c r="F35" i="1"/>
  <c r="F34" i="1"/>
  <c r="F33" i="1"/>
  <c r="F32" i="1"/>
  <c r="P39" i="1"/>
  <c r="N39" i="1"/>
  <c r="L39" i="1"/>
  <c r="P38" i="1"/>
  <c r="N38" i="1"/>
  <c r="L38" i="1"/>
  <c r="P37" i="1"/>
  <c r="N37" i="1"/>
  <c r="L37" i="1"/>
  <c r="P36" i="1"/>
  <c r="N36" i="1"/>
  <c r="L36" i="1"/>
  <c r="P35" i="1"/>
  <c r="N35" i="1"/>
  <c r="L35" i="1"/>
  <c r="P34" i="1"/>
  <c r="N34" i="1"/>
  <c r="L34" i="1"/>
  <c r="P33" i="1"/>
  <c r="N33" i="1"/>
  <c r="L33" i="1"/>
  <c r="P32" i="1"/>
  <c r="N32" i="1"/>
  <c r="L32" i="1"/>
  <c r="X109" i="1"/>
  <c r="P109" i="1"/>
  <c r="H109" i="1"/>
  <c r="V52" i="1"/>
  <c r="N52" i="1"/>
  <c r="G52" i="1"/>
  <c r="N3" i="1"/>
  <c r="U117" i="1"/>
  <c r="U120" i="1"/>
  <c r="U121" i="1"/>
  <c r="M121" i="1"/>
  <c r="Y116" i="1"/>
  <c r="Q117" i="1"/>
  <c r="Q120" i="1"/>
  <c r="Q121" i="1"/>
  <c r="Z122" i="1"/>
  <c r="V122" i="1"/>
  <c r="T122" i="1"/>
  <c r="X122" i="1" s="1"/>
  <c r="Y122" i="1" s="1"/>
  <c r="Z121" i="1"/>
  <c r="V121" i="1"/>
  <c r="T121" i="1"/>
  <c r="X121" i="1" s="1"/>
  <c r="Y121" i="1" s="1"/>
  <c r="Z120" i="1"/>
  <c r="V120" i="1"/>
  <c r="T120" i="1"/>
  <c r="X120" i="1" s="1"/>
  <c r="Y120" i="1" s="1"/>
  <c r="Z119" i="1"/>
  <c r="V119" i="1"/>
  <c r="T119" i="1"/>
  <c r="U119" i="1" s="1"/>
  <c r="Z118" i="1"/>
  <c r="V118" i="1"/>
  <c r="T118" i="1"/>
  <c r="X118" i="1" s="1"/>
  <c r="Y118" i="1" s="1"/>
  <c r="Z117" i="1"/>
  <c r="V117" i="1"/>
  <c r="T117" i="1"/>
  <c r="Z116" i="1"/>
  <c r="V116" i="1"/>
  <c r="T116" i="1"/>
  <c r="X116" i="1" s="1"/>
  <c r="Z115" i="1"/>
  <c r="V115" i="1"/>
  <c r="T115" i="1"/>
  <c r="U115" i="1" s="1"/>
  <c r="R122" i="1"/>
  <c r="N122" i="1"/>
  <c r="L122" i="1"/>
  <c r="P122" i="1" s="1"/>
  <c r="Q122" i="1" s="1"/>
  <c r="R121" i="1"/>
  <c r="N121" i="1"/>
  <c r="L121" i="1"/>
  <c r="P121" i="1" s="1"/>
  <c r="R120" i="1"/>
  <c r="N120" i="1"/>
  <c r="L120" i="1"/>
  <c r="P120" i="1" s="1"/>
  <c r="R119" i="1"/>
  <c r="N119" i="1"/>
  <c r="L119" i="1"/>
  <c r="P119" i="1" s="1"/>
  <c r="Q119" i="1" s="1"/>
  <c r="R118" i="1"/>
  <c r="N118" i="1"/>
  <c r="L118" i="1"/>
  <c r="P118" i="1" s="1"/>
  <c r="Q118" i="1" s="1"/>
  <c r="R117" i="1"/>
  <c r="N117" i="1"/>
  <c r="L117" i="1"/>
  <c r="P117" i="1" s="1"/>
  <c r="R116" i="1"/>
  <c r="N116" i="1"/>
  <c r="L116" i="1"/>
  <c r="P116" i="1" s="1"/>
  <c r="Q116" i="1" s="1"/>
  <c r="R115" i="1"/>
  <c r="N115" i="1"/>
  <c r="L115" i="1"/>
  <c r="P115" i="1" s="1"/>
  <c r="Q115" i="1" s="1"/>
  <c r="E117" i="1"/>
  <c r="E118" i="1"/>
  <c r="J122" i="1"/>
  <c r="J121" i="1"/>
  <c r="J117" i="1"/>
  <c r="J118" i="1"/>
  <c r="J119" i="1"/>
  <c r="J120" i="1"/>
  <c r="J116" i="1"/>
  <c r="J115" i="1"/>
  <c r="F122" i="1"/>
  <c r="D122" i="1"/>
  <c r="E122" i="1" s="1"/>
  <c r="F121" i="1"/>
  <c r="D121" i="1"/>
  <c r="E121" i="1" s="1"/>
  <c r="F120" i="1"/>
  <c r="D120" i="1"/>
  <c r="E120" i="1" s="1"/>
  <c r="F119" i="1"/>
  <c r="D119" i="1"/>
  <c r="E119" i="1" s="1"/>
  <c r="F118" i="1"/>
  <c r="D118" i="1"/>
  <c r="H118" i="1" s="1"/>
  <c r="I118" i="1" s="1"/>
  <c r="F117" i="1"/>
  <c r="D117" i="1"/>
  <c r="H117" i="1" s="1"/>
  <c r="I117" i="1" s="1"/>
  <c r="F116" i="1"/>
  <c r="D116" i="1"/>
  <c r="H116" i="1" s="1"/>
  <c r="I116" i="1" s="1"/>
  <c r="F115" i="1"/>
  <c r="D115" i="1"/>
  <c r="AA108" i="1"/>
  <c r="W108" i="1"/>
  <c r="U108" i="1"/>
  <c r="Y108" i="1" s="1"/>
  <c r="Z108" i="1" s="1"/>
  <c r="AA107" i="1"/>
  <c r="W107" i="1"/>
  <c r="U107" i="1"/>
  <c r="V107" i="1" s="1"/>
  <c r="X107" i="1" s="1"/>
  <c r="AA106" i="1"/>
  <c r="W106" i="1"/>
  <c r="U106" i="1"/>
  <c r="Y106" i="1" s="1"/>
  <c r="Z106" i="1" s="1"/>
  <c r="AA105" i="1"/>
  <c r="W105" i="1"/>
  <c r="U105" i="1"/>
  <c r="V105" i="1" s="1"/>
  <c r="X105" i="1" s="1"/>
  <c r="AA104" i="1"/>
  <c r="W104" i="1"/>
  <c r="U104" i="1"/>
  <c r="Y104" i="1" s="1"/>
  <c r="Z104" i="1" s="1"/>
  <c r="AA103" i="1"/>
  <c r="W103" i="1"/>
  <c r="U103" i="1"/>
  <c r="Y103" i="1" s="1"/>
  <c r="Z103" i="1" s="1"/>
  <c r="AA102" i="1"/>
  <c r="W102" i="1"/>
  <c r="V102" i="1"/>
  <c r="X102" i="1" s="1"/>
  <c r="U102" i="1"/>
  <c r="Y102" i="1" s="1"/>
  <c r="Z102" i="1" s="1"/>
  <c r="AA101" i="1"/>
  <c r="Y101" i="1"/>
  <c r="Z101" i="1" s="1"/>
  <c r="W101" i="1"/>
  <c r="U101" i="1"/>
  <c r="S108" i="1"/>
  <c r="O108" i="1"/>
  <c r="M108" i="1"/>
  <c r="N108" i="1" s="1"/>
  <c r="P108" i="1" s="1"/>
  <c r="S107" i="1"/>
  <c r="O107" i="1"/>
  <c r="M107" i="1"/>
  <c r="Q107" i="1" s="1"/>
  <c r="R107" i="1" s="1"/>
  <c r="S106" i="1"/>
  <c r="O106" i="1"/>
  <c r="M106" i="1"/>
  <c r="Q106" i="1" s="1"/>
  <c r="S105" i="1"/>
  <c r="Q105" i="1"/>
  <c r="O105" i="1"/>
  <c r="N105" i="1"/>
  <c r="P105" i="1" s="1"/>
  <c r="M105" i="1"/>
  <c r="S104" i="1"/>
  <c r="O104" i="1"/>
  <c r="M104" i="1"/>
  <c r="Q104" i="1" s="1"/>
  <c r="R104" i="1" s="1"/>
  <c r="S103" i="1"/>
  <c r="Q103" i="1"/>
  <c r="R103" i="1" s="1"/>
  <c r="O103" i="1"/>
  <c r="N103" i="1" s="1"/>
  <c r="M103" i="1"/>
  <c r="S102" i="1"/>
  <c r="O102" i="1"/>
  <c r="M102" i="1"/>
  <c r="N102" i="1" s="1"/>
  <c r="P102" i="1" s="1"/>
  <c r="S101" i="1"/>
  <c r="O101" i="1"/>
  <c r="M101" i="1"/>
  <c r="Q101" i="1" s="1"/>
  <c r="R101" i="1" s="1"/>
  <c r="S40" i="1" l="1"/>
  <c r="M40" i="1"/>
  <c r="G40" i="1"/>
  <c r="P103" i="1"/>
  <c r="E115" i="1"/>
  <c r="H122" i="1"/>
  <c r="I122" i="1" s="1"/>
  <c r="U122" i="1"/>
  <c r="W122" i="1" s="1"/>
  <c r="M115" i="1"/>
  <c r="O115" i="1" s="1"/>
  <c r="M122" i="1"/>
  <c r="U118" i="1"/>
  <c r="W118" i="1" s="1"/>
  <c r="E116" i="1"/>
  <c r="G116" i="1" s="1"/>
  <c r="M120" i="1"/>
  <c r="O120" i="1" s="1"/>
  <c r="U116" i="1"/>
  <c r="U123" i="1" s="1"/>
  <c r="V104" i="1"/>
  <c r="X104" i="1" s="1"/>
  <c r="M118" i="1"/>
  <c r="M119" i="1"/>
  <c r="M117" i="1"/>
  <c r="M116" i="1"/>
  <c r="R106" i="1"/>
  <c r="W115" i="1"/>
  <c r="W121" i="1"/>
  <c r="X115" i="1"/>
  <c r="Y115" i="1" s="1"/>
  <c r="X117" i="1"/>
  <c r="X119" i="1"/>
  <c r="W120" i="1"/>
  <c r="O117" i="1"/>
  <c r="O119" i="1"/>
  <c r="O121" i="1"/>
  <c r="O116" i="1"/>
  <c r="O118" i="1"/>
  <c r="O122" i="1"/>
  <c r="G122" i="1"/>
  <c r="G117" i="1"/>
  <c r="G118" i="1"/>
  <c r="H115" i="1"/>
  <c r="I115" i="1" s="1"/>
  <c r="Y105" i="1"/>
  <c r="Z105" i="1" s="1"/>
  <c r="H121" i="1"/>
  <c r="H120" i="1"/>
  <c r="H119" i="1"/>
  <c r="Q102" i="1"/>
  <c r="Q108" i="1"/>
  <c r="R108" i="1" s="1"/>
  <c r="R105" i="1"/>
  <c r="V101" i="1"/>
  <c r="X101" i="1" s="1"/>
  <c r="Y107" i="1"/>
  <c r="Z107" i="1" s="1"/>
  <c r="V106" i="1"/>
  <c r="X106" i="1" s="1"/>
  <c r="V108" i="1"/>
  <c r="X108" i="1" s="1"/>
  <c r="V103" i="1"/>
  <c r="X103" i="1" s="1"/>
  <c r="N107" i="1"/>
  <c r="P107" i="1" s="1"/>
  <c r="N104" i="1"/>
  <c r="P104" i="1" s="1"/>
  <c r="N106" i="1"/>
  <c r="P106" i="1" s="1"/>
  <c r="N101" i="1"/>
  <c r="P101" i="1" s="1"/>
  <c r="W116" i="1" l="1"/>
  <c r="W119" i="1"/>
  <c r="Y119" i="1"/>
  <c r="W117" i="1"/>
  <c r="Y117" i="1"/>
  <c r="R102" i="1"/>
  <c r="G121" i="1"/>
  <c r="I121" i="1"/>
  <c r="G115" i="1"/>
  <c r="E123" i="1"/>
  <c r="G119" i="1"/>
  <c r="I119" i="1"/>
  <c r="M123" i="1"/>
  <c r="G120" i="1"/>
  <c r="I120" i="1"/>
  <c r="Z51" i="1"/>
  <c r="AA51" i="1" s="1"/>
  <c r="X51" i="1"/>
  <c r="Y51" i="1" s="1"/>
  <c r="U51" i="1"/>
  <c r="V51" i="1" s="1"/>
  <c r="Z50" i="1"/>
  <c r="AA50" i="1" s="1"/>
  <c r="X50" i="1"/>
  <c r="Y50" i="1" s="1"/>
  <c r="U50" i="1"/>
  <c r="V50" i="1" s="1"/>
  <c r="Z49" i="1"/>
  <c r="AA49" i="1" s="1"/>
  <c r="X49" i="1"/>
  <c r="Y49" i="1" s="1"/>
  <c r="W49" i="1" s="1"/>
  <c r="U49" i="1"/>
  <c r="V49" i="1" s="1"/>
  <c r="Z48" i="1"/>
  <c r="AA48" i="1" s="1"/>
  <c r="X48" i="1"/>
  <c r="U48" i="1"/>
  <c r="V48" i="1" s="1"/>
  <c r="Z47" i="1"/>
  <c r="AA47" i="1" s="1"/>
  <c r="X47" i="1"/>
  <c r="Y47" i="1" s="1"/>
  <c r="U47" i="1"/>
  <c r="V47" i="1" s="1"/>
  <c r="Z46" i="1"/>
  <c r="AA46" i="1" s="1"/>
  <c r="X46" i="1"/>
  <c r="Y46" i="1" s="1"/>
  <c r="U46" i="1"/>
  <c r="V46" i="1" s="1"/>
  <c r="Z45" i="1"/>
  <c r="AA45" i="1" s="1"/>
  <c r="X45" i="1"/>
  <c r="Y45" i="1" s="1"/>
  <c r="U45" i="1"/>
  <c r="V45" i="1" s="1"/>
  <c r="Z44" i="1"/>
  <c r="AA44" i="1" s="1"/>
  <c r="X44" i="1"/>
  <c r="Y44" i="1" s="1"/>
  <c r="U44" i="1"/>
  <c r="V44" i="1" s="1"/>
  <c r="R51" i="1"/>
  <c r="S51" i="1" s="1"/>
  <c r="P51" i="1"/>
  <c r="Q51" i="1" s="1"/>
  <c r="M51" i="1"/>
  <c r="N51" i="1" s="1"/>
  <c r="O51" i="1" s="1"/>
  <c r="R50" i="1"/>
  <c r="S50" i="1" s="1"/>
  <c r="P50" i="1"/>
  <c r="Q50" i="1" s="1"/>
  <c r="M50" i="1"/>
  <c r="N50" i="1" s="1"/>
  <c r="O50" i="1" s="1"/>
  <c r="R49" i="1"/>
  <c r="S49" i="1" s="1"/>
  <c r="P49" i="1"/>
  <c r="Q49" i="1" s="1"/>
  <c r="M49" i="1"/>
  <c r="N49" i="1" s="1"/>
  <c r="R48" i="1"/>
  <c r="S48" i="1" s="1"/>
  <c r="P48" i="1"/>
  <c r="Q48" i="1" s="1"/>
  <c r="M48" i="1"/>
  <c r="N48" i="1" s="1"/>
  <c r="O48" i="1" s="1"/>
  <c r="R47" i="1"/>
  <c r="S47" i="1" s="1"/>
  <c r="P47" i="1"/>
  <c r="Q47" i="1" s="1"/>
  <c r="M47" i="1"/>
  <c r="N47" i="1" s="1"/>
  <c r="O47" i="1" s="1"/>
  <c r="R46" i="1"/>
  <c r="S46" i="1" s="1"/>
  <c r="P46" i="1"/>
  <c r="Q46" i="1" s="1"/>
  <c r="M46" i="1"/>
  <c r="N46" i="1" s="1"/>
  <c r="O46" i="1" s="1"/>
  <c r="R45" i="1"/>
  <c r="S45" i="1" s="1"/>
  <c r="P45" i="1"/>
  <c r="Q45" i="1" s="1"/>
  <c r="M45" i="1"/>
  <c r="N45" i="1" s="1"/>
  <c r="O45" i="1" s="1"/>
  <c r="R44" i="1"/>
  <c r="S44" i="1" s="1"/>
  <c r="P44" i="1"/>
  <c r="Q44" i="1" s="1"/>
  <c r="M44" i="1"/>
  <c r="N44" i="1" s="1"/>
  <c r="O44" i="1" s="1"/>
  <c r="V74" i="1"/>
  <c r="T74" i="1"/>
  <c r="R74" i="1"/>
  <c r="V73" i="1"/>
  <c r="T73" i="1"/>
  <c r="R73" i="1"/>
  <c r="S73" i="1" s="1"/>
  <c r="U73" i="1" s="1"/>
  <c r="V72" i="1"/>
  <c r="T72" i="1"/>
  <c r="R72" i="1"/>
  <c r="V71" i="1"/>
  <c r="T71" i="1"/>
  <c r="R71" i="1"/>
  <c r="S71" i="1" s="1"/>
  <c r="U71" i="1" s="1"/>
  <c r="V70" i="1"/>
  <c r="T70" i="1"/>
  <c r="R70" i="1"/>
  <c r="V69" i="1"/>
  <c r="T69" i="1"/>
  <c r="R69" i="1"/>
  <c r="S69" i="1" s="1"/>
  <c r="U69" i="1" s="1"/>
  <c r="V68" i="1"/>
  <c r="T68" i="1"/>
  <c r="R68" i="1"/>
  <c r="V67" i="1"/>
  <c r="T67" i="1"/>
  <c r="R67" i="1"/>
  <c r="S67" i="1" s="1"/>
  <c r="U67" i="1" s="1"/>
  <c r="M69" i="1"/>
  <c r="O69" i="1" s="1"/>
  <c r="M70" i="1"/>
  <c r="O70" i="1" s="1"/>
  <c r="M72" i="1"/>
  <c r="O72" i="1" s="1"/>
  <c r="M74" i="1"/>
  <c r="P74" i="1"/>
  <c r="N74" i="1"/>
  <c r="L74" i="1"/>
  <c r="P73" i="1"/>
  <c r="N73" i="1"/>
  <c r="L73" i="1"/>
  <c r="M73" i="1" s="1"/>
  <c r="O73" i="1" s="1"/>
  <c r="P72" i="1"/>
  <c r="N72" i="1"/>
  <c r="L72" i="1"/>
  <c r="P71" i="1"/>
  <c r="N71" i="1"/>
  <c r="L71" i="1"/>
  <c r="M71" i="1" s="1"/>
  <c r="O71" i="1" s="1"/>
  <c r="P70" i="1"/>
  <c r="N70" i="1"/>
  <c r="L70" i="1"/>
  <c r="P69" i="1"/>
  <c r="N69" i="1"/>
  <c r="L69" i="1"/>
  <c r="P68" i="1"/>
  <c r="N68" i="1"/>
  <c r="L68" i="1"/>
  <c r="M68" i="1" s="1"/>
  <c r="O68" i="1" s="1"/>
  <c r="P67" i="1"/>
  <c r="N67" i="1"/>
  <c r="M67" i="1" s="1"/>
  <c r="O67" i="1" s="1"/>
  <c r="L67" i="1"/>
  <c r="I74" i="1"/>
  <c r="J74" i="1"/>
  <c r="H74" i="1"/>
  <c r="F74" i="1"/>
  <c r="G74" i="1" s="1"/>
  <c r="J73" i="1"/>
  <c r="H73" i="1"/>
  <c r="F73" i="1"/>
  <c r="G73" i="1" s="1"/>
  <c r="I73" i="1" s="1"/>
  <c r="J72" i="1"/>
  <c r="H72" i="1"/>
  <c r="F72" i="1"/>
  <c r="G72" i="1" s="1"/>
  <c r="I72" i="1" s="1"/>
  <c r="J71" i="1"/>
  <c r="H71" i="1"/>
  <c r="F71" i="1"/>
  <c r="G71" i="1" s="1"/>
  <c r="I71" i="1" s="1"/>
  <c r="J70" i="1"/>
  <c r="H70" i="1"/>
  <c r="F70" i="1"/>
  <c r="G70" i="1" s="1"/>
  <c r="I70" i="1" s="1"/>
  <c r="J69" i="1"/>
  <c r="H69" i="1"/>
  <c r="F69" i="1"/>
  <c r="G69" i="1" s="1"/>
  <c r="I69" i="1" s="1"/>
  <c r="J68" i="1"/>
  <c r="H68" i="1"/>
  <c r="F68" i="1"/>
  <c r="G68" i="1" s="1"/>
  <c r="I68" i="1" s="1"/>
  <c r="J67" i="1"/>
  <c r="H67" i="1"/>
  <c r="F67" i="1"/>
  <c r="G67" i="1" s="1"/>
  <c r="I67" i="1" s="1"/>
  <c r="L96" i="1"/>
  <c r="L95" i="1"/>
  <c r="L94" i="1"/>
  <c r="L93" i="1"/>
  <c r="L92" i="1"/>
  <c r="L91" i="1"/>
  <c r="L90" i="1"/>
  <c r="L89" i="1"/>
  <c r="K108" i="1"/>
  <c r="K107" i="1"/>
  <c r="K106" i="1"/>
  <c r="K105" i="1"/>
  <c r="K104" i="1"/>
  <c r="K103" i="1"/>
  <c r="K102" i="1"/>
  <c r="K101" i="1"/>
  <c r="G108" i="1"/>
  <c r="G107" i="1"/>
  <c r="G106" i="1"/>
  <c r="G105" i="1"/>
  <c r="G104" i="1"/>
  <c r="G103" i="1"/>
  <c r="G102" i="1"/>
  <c r="G101" i="1"/>
  <c r="E108" i="1"/>
  <c r="E107" i="1"/>
  <c r="E106" i="1"/>
  <c r="E105" i="1"/>
  <c r="E104" i="1"/>
  <c r="E103" i="1"/>
  <c r="E102" i="1"/>
  <c r="E101" i="1"/>
  <c r="M63" i="1"/>
  <c r="X96" i="1"/>
  <c r="V96" i="1"/>
  <c r="T96" i="1"/>
  <c r="U96" i="1" s="1"/>
  <c r="X95" i="1"/>
  <c r="V95" i="1"/>
  <c r="U95" i="1" s="1"/>
  <c r="T95" i="1"/>
  <c r="X94" i="1"/>
  <c r="W94" i="1" s="1"/>
  <c r="V94" i="1"/>
  <c r="T94" i="1"/>
  <c r="U94" i="1" s="1"/>
  <c r="X93" i="1"/>
  <c r="V93" i="1"/>
  <c r="T93" i="1"/>
  <c r="U93" i="1" s="1"/>
  <c r="X92" i="1"/>
  <c r="V92" i="1"/>
  <c r="T92" i="1"/>
  <c r="U92" i="1" s="1"/>
  <c r="X91" i="1"/>
  <c r="V91" i="1"/>
  <c r="T91" i="1"/>
  <c r="X90" i="1"/>
  <c r="W90" i="1" s="1"/>
  <c r="V90" i="1"/>
  <c r="T90" i="1"/>
  <c r="U90" i="1" s="1"/>
  <c r="X89" i="1"/>
  <c r="V89" i="1"/>
  <c r="T89" i="1"/>
  <c r="U89" i="1" s="1"/>
  <c r="R96" i="1"/>
  <c r="P96" i="1"/>
  <c r="Q96" i="1" s="1"/>
  <c r="N96" i="1"/>
  <c r="O96" i="1" s="1"/>
  <c r="R95" i="1"/>
  <c r="P95" i="1"/>
  <c r="Q95" i="1" s="1"/>
  <c r="N95" i="1"/>
  <c r="O95" i="1" s="1"/>
  <c r="R94" i="1"/>
  <c r="P94" i="1"/>
  <c r="N94" i="1"/>
  <c r="O94" i="1" s="1"/>
  <c r="R93" i="1"/>
  <c r="P93" i="1"/>
  <c r="Q93" i="1" s="1"/>
  <c r="N93" i="1"/>
  <c r="O93" i="1" s="1"/>
  <c r="R92" i="1"/>
  <c r="P92" i="1"/>
  <c r="Q92" i="1" s="1"/>
  <c r="N92" i="1"/>
  <c r="O92" i="1" s="1"/>
  <c r="R91" i="1"/>
  <c r="P91" i="1"/>
  <c r="Q91" i="1" s="1"/>
  <c r="N91" i="1"/>
  <c r="O91" i="1" s="1"/>
  <c r="R90" i="1"/>
  <c r="P90" i="1"/>
  <c r="N90" i="1"/>
  <c r="O90" i="1" s="1"/>
  <c r="R89" i="1"/>
  <c r="P89" i="1"/>
  <c r="N89" i="1"/>
  <c r="O89" i="1" s="1"/>
  <c r="J96" i="1"/>
  <c r="K96" i="1" s="1"/>
  <c r="H96" i="1"/>
  <c r="I96" i="1" s="1"/>
  <c r="J95" i="1"/>
  <c r="K95" i="1" s="1"/>
  <c r="H95" i="1"/>
  <c r="I95" i="1" s="1"/>
  <c r="J94" i="1"/>
  <c r="K94" i="1" s="1"/>
  <c r="H94" i="1"/>
  <c r="I94" i="1" s="1"/>
  <c r="J93" i="1"/>
  <c r="H93" i="1"/>
  <c r="I93" i="1" s="1"/>
  <c r="J92" i="1"/>
  <c r="K92" i="1" s="1"/>
  <c r="H92" i="1"/>
  <c r="I92" i="1" s="1"/>
  <c r="J91" i="1"/>
  <c r="K91" i="1" s="1"/>
  <c r="H91" i="1"/>
  <c r="J90" i="1"/>
  <c r="K90" i="1" s="1"/>
  <c r="H90" i="1"/>
  <c r="J89" i="1"/>
  <c r="K89" i="1" s="1"/>
  <c r="H89" i="1"/>
  <c r="V85" i="1"/>
  <c r="T85" i="1"/>
  <c r="R85" i="1"/>
  <c r="V84" i="1"/>
  <c r="T84" i="1"/>
  <c r="S84" i="1" s="1"/>
  <c r="R84" i="1"/>
  <c r="V83" i="1"/>
  <c r="T83" i="1"/>
  <c r="R83" i="1"/>
  <c r="V82" i="1"/>
  <c r="T82" i="1"/>
  <c r="U82" i="1" s="1"/>
  <c r="R82" i="1"/>
  <c r="V81" i="1"/>
  <c r="T81" i="1"/>
  <c r="R81" i="1"/>
  <c r="V80" i="1"/>
  <c r="T80" i="1"/>
  <c r="R80" i="1"/>
  <c r="V79" i="1"/>
  <c r="T79" i="1"/>
  <c r="R79" i="1"/>
  <c r="V78" i="1"/>
  <c r="T78" i="1"/>
  <c r="R78" i="1"/>
  <c r="P85" i="1"/>
  <c r="N85" i="1"/>
  <c r="L85" i="1"/>
  <c r="M85" i="1" s="1"/>
  <c r="P84" i="1"/>
  <c r="N84" i="1"/>
  <c r="L84" i="1"/>
  <c r="M84" i="1" s="1"/>
  <c r="P83" i="1"/>
  <c r="N83" i="1"/>
  <c r="L83" i="1"/>
  <c r="M83" i="1" s="1"/>
  <c r="P82" i="1"/>
  <c r="N82" i="1"/>
  <c r="O82" i="1" s="1"/>
  <c r="L82" i="1"/>
  <c r="M82" i="1" s="1"/>
  <c r="P81" i="1"/>
  <c r="N81" i="1"/>
  <c r="L81" i="1"/>
  <c r="P80" i="1"/>
  <c r="N80" i="1"/>
  <c r="L80" i="1"/>
  <c r="M80" i="1" s="1"/>
  <c r="P79" i="1"/>
  <c r="N79" i="1"/>
  <c r="L79" i="1"/>
  <c r="M79" i="1" s="1"/>
  <c r="P78" i="1"/>
  <c r="N78" i="1"/>
  <c r="O78" i="1" s="1"/>
  <c r="L78" i="1"/>
  <c r="J85" i="1"/>
  <c r="H85" i="1"/>
  <c r="F85" i="1"/>
  <c r="G85" i="1" s="1"/>
  <c r="J84" i="1"/>
  <c r="H84" i="1"/>
  <c r="F84" i="1"/>
  <c r="G84" i="1" s="1"/>
  <c r="J83" i="1"/>
  <c r="H83" i="1"/>
  <c r="I83" i="1" s="1"/>
  <c r="F83" i="1"/>
  <c r="G83" i="1" s="1"/>
  <c r="J82" i="1"/>
  <c r="H82" i="1"/>
  <c r="I82" i="1" s="1"/>
  <c r="F82" i="1"/>
  <c r="G82" i="1" s="1"/>
  <c r="J81" i="1"/>
  <c r="H81" i="1"/>
  <c r="F81" i="1"/>
  <c r="G81" i="1" s="1"/>
  <c r="J80" i="1"/>
  <c r="H80" i="1"/>
  <c r="F80" i="1"/>
  <c r="G80" i="1" s="1"/>
  <c r="J79" i="1"/>
  <c r="H79" i="1"/>
  <c r="F79" i="1"/>
  <c r="G79" i="1" s="1"/>
  <c r="J78" i="1"/>
  <c r="H78" i="1"/>
  <c r="I78" i="1" s="1"/>
  <c r="F78" i="1"/>
  <c r="V63" i="1"/>
  <c r="T63" i="1"/>
  <c r="R63" i="1"/>
  <c r="V62" i="1"/>
  <c r="T62" i="1"/>
  <c r="R62" i="1"/>
  <c r="S62" i="1" s="1"/>
  <c r="V61" i="1"/>
  <c r="T61" i="1"/>
  <c r="R61" i="1"/>
  <c r="S61" i="1" s="1"/>
  <c r="V60" i="1"/>
  <c r="T60" i="1"/>
  <c r="R60" i="1"/>
  <c r="V59" i="1"/>
  <c r="T59" i="1"/>
  <c r="R59" i="1"/>
  <c r="V58" i="1"/>
  <c r="T58" i="1"/>
  <c r="R58" i="1"/>
  <c r="S58" i="1" s="1"/>
  <c r="V57" i="1"/>
  <c r="T57" i="1"/>
  <c r="R57" i="1"/>
  <c r="S57" i="1" s="1"/>
  <c r="V56" i="1"/>
  <c r="T56" i="1"/>
  <c r="R56" i="1"/>
  <c r="P63" i="1"/>
  <c r="N63" i="1"/>
  <c r="L63" i="1"/>
  <c r="P62" i="1"/>
  <c r="N62" i="1"/>
  <c r="L62" i="1"/>
  <c r="M62" i="1" s="1"/>
  <c r="P61" i="1"/>
  <c r="N61" i="1"/>
  <c r="L61" i="1"/>
  <c r="M61" i="1" s="1"/>
  <c r="P60" i="1"/>
  <c r="N60" i="1"/>
  <c r="L60" i="1"/>
  <c r="P59" i="1"/>
  <c r="N59" i="1"/>
  <c r="L59" i="1"/>
  <c r="M59" i="1" s="1"/>
  <c r="P58" i="1"/>
  <c r="N58" i="1"/>
  <c r="L58" i="1"/>
  <c r="M58" i="1" s="1"/>
  <c r="P57" i="1"/>
  <c r="N57" i="1"/>
  <c r="L57" i="1"/>
  <c r="M57" i="1" s="1"/>
  <c r="P56" i="1"/>
  <c r="N56" i="1"/>
  <c r="L56" i="1"/>
  <c r="M56" i="1" s="1"/>
  <c r="J63" i="1"/>
  <c r="H63" i="1"/>
  <c r="F63" i="1"/>
  <c r="J62" i="1"/>
  <c r="H62" i="1"/>
  <c r="F62" i="1"/>
  <c r="G62" i="1" s="1"/>
  <c r="J61" i="1"/>
  <c r="H61" i="1"/>
  <c r="F61" i="1"/>
  <c r="G61" i="1" s="1"/>
  <c r="J60" i="1"/>
  <c r="H60" i="1"/>
  <c r="F60" i="1"/>
  <c r="J59" i="1"/>
  <c r="H59" i="1"/>
  <c r="F59" i="1"/>
  <c r="G59" i="1" s="1"/>
  <c r="J58" i="1"/>
  <c r="H58" i="1"/>
  <c r="F58" i="1"/>
  <c r="G58" i="1" s="1"/>
  <c r="J57" i="1"/>
  <c r="H57" i="1"/>
  <c r="F57" i="1"/>
  <c r="G57" i="1" s="1"/>
  <c r="J56" i="1"/>
  <c r="H56" i="1"/>
  <c r="F56" i="1"/>
  <c r="G56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H51" i="1"/>
  <c r="I51" i="1" s="1"/>
  <c r="H50" i="1"/>
  <c r="I50" i="1" s="1"/>
  <c r="H49" i="1"/>
  <c r="I49" i="1" s="1"/>
  <c r="H48" i="1"/>
  <c r="H47" i="1"/>
  <c r="I47" i="1" s="1"/>
  <c r="H46" i="1"/>
  <c r="I46" i="1" s="1"/>
  <c r="H45" i="1"/>
  <c r="H44" i="1"/>
  <c r="E51" i="1"/>
  <c r="F51" i="1" s="1"/>
  <c r="E50" i="1"/>
  <c r="F50" i="1" s="1"/>
  <c r="E49" i="1"/>
  <c r="F49" i="1" s="1"/>
  <c r="E48" i="1"/>
  <c r="F48" i="1" s="1"/>
  <c r="E47" i="1"/>
  <c r="F47" i="1" s="1"/>
  <c r="G47" i="1" s="1"/>
  <c r="E46" i="1"/>
  <c r="F46" i="1" s="1"/>
  <c r="G46" i="1" s="1"/>
  <c r="E45" i="1"/>
  <c r="F45" i="1" s="1"/>
  <c r="G45" i="1" s="1"/>
  <c r="E44" i="1"/>
  <c r="F44" i="1" s="1"/>
  <c r="G44" i="1" s="1"/>
  <c r="U27" i="1"/>
  <c r="R27" i="1"/>
  <c r="S27" i="1" s="1"/>
  <c r="P27" i="1"/>
  <c r="U26" i="1"/>
  <c r="R26" i="1"/>
  <c r="S26" i="1" s="1"/>
  <c r="P26" i="1"/>
  <c r="U25" i="1"/>
  <c r="R25" i="1"/>
  <c r="S25" i="1" s="1"/>
  <c r="P25" i="1"/>
  <c r="U24" i="1"/>
  <c r="R24" i="1"/>
  <c r="S24" i="1" s="1"/>
  <c r="P24" i="1"/>
  <c r="U23" i="1"/>
  <c r="R23" i="1"/>
  <c r="S23" i="1" s="1"/>
  <c r="P23" i="1"/>
  <c r="U22" i="1"/>
  <c r="R22" i="1"/>
  <c r="S22" i="1" s="1"/>
  <c r="P22" i="1"/>
  <c r="U21" i="1"/>
  <c r="R21" i="1"/>
  <c r="S21" i="1" s="1"/>
  <c r="P21" i="1"/>
  <c r="U20" i="1"/>
  <c r="R20" i="1"/>
  <c r="S20" i="1" s="1"/>
  <c r="P20" i="1"/>
  <c r="N27" i="1"/>
  <c r="K27" i="1"/>
  <c r="L27" i="1" s="1"/>
  <c r="I27" i="1"/>
  <c r="J27" i="1" s="1"/>
  <c r="N26" i="1"/>
  <c r="K26" i="1"/>
  <c r="L26" i="1" s="1"/>
  <c r="I26" i="1"/>
  <c r="J26" i="1" s="1"/>
  <c r="N25" i="1"/>
  <c r="K25" i="1"/>
  <c r="L25" i="1" s="1"/>
  <c r="M25" i="1" s="1"/>
  <c r="I25" i="1"/>
  <c r="J25" i="1" s="1"/>
  <c r="N24" i="1"/>
  <c r="K24" i="1"/>
  <c r="L24" i="1" s="1"/>
  <c r="M24" i="1" s="1"/>
  <c r="I24" i="1"/>
  <c r="J24" i="1" s="1"/>
  <c r="N23" i="1"/>
  <c r="K23" i="1"/>
  <c r="L23" i="1" s="1"/>
  <c r="I23" i="1"/>
  <c r="N22" i="1"/>
  <c r="K22" i="1"/>
  <c r="L22" i="1" s="1"/>
  <c r="I22" i="1"/>
  <c r="N21" i="1"/>
  <c r="K21" i="1"/>
  <c r="L21" i="1" s="1"/>
  <c r="M21" i="1" s="1"/>
  <c r="I21" i="1"/>
  <c r="N20" i="1"/>
  <c r="K20" i="1"/>
  <c r="L20" i="1" s="1"/>
  <c r="M20" i="1" s="1"/>
  <c r="I20" i="1"/>
  <c r="G27" i="1"/>
  <c r="G26" i="1"/>
  <c r="G25" i="1"/>
  <c r="G24" i="1"/>
  <c r="G23" i="1"/>
  <c r="G22" i="1"/>
  <c r="G21" i="1"/>
  <c r="G20" i="1"/>
  <c r="B24" i="1"/>
  <c r="C24" i="1" s="1"/>
  <c r="B25" i="1"/>
  <c r="C25" i="1" s="1"/>
  <c r="B26" i="1"/>
  <c r="C26" i="1" s="1"/>
  <c r="B27" i="1"/>
  <c r="C27" i="1" s="1"/>
  <c r="D20" i="1"/>
  <c r="E20" i="1" s="1"/>
  <c r="F20" i="1" s="1"/>
  <c r="D21" i="1"/>
  <c r="E21" i="1" s="1"/>
  <c r="F21" i="1" s="1"/>
  <c r="D22" i="1"/>
  <c r="E22" i="1" s="1"/>
  <c r="D23" i="1"/>
  <c r="E23" i="1" s="1"/>
  <c r="F23" i="1" s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G3" i="1"/>
  <c r="B23" i="1"/>
  <c r="B22" i="1"/>
  <c r="B21" i="1"/>
  <c r="B20" i="1"/>
  <c r="O3" i="1"/>
  <c r="P3" i="1" s="1"/>
  <c r="W10" i="1"/>
  <c r="U10" i="1"/>
  <c r="S10" i="1"/>
  <c r="W9" i="1"/>
  <c r="U9" i="1"/>
  <c r="S9" i="1"/>
  <c r="W8" i="1"/>
  <c r="U8" i="1"/>
  <c r="S8" i="1"/>
  <c r="T8" i="1" s="1"/>
  <c r="W7" i="1"/>
  <c r="U7" i="1"/>
  <c r="S7" i="1"/>
  <c r="W6" i="1"/>
  <c r="U6" i="1"/>
  <c r="S6" i="1"/>
  <c r="W5" i="1"/>
  <c r="U5" i="1"/>
  <c r="S5" i="1"/>
  <c r="W4" i="1"/>
  <c r="U4" i="1"/>
  <c r="S4" i="1"/>
  <c r="T4" i="1" s="1"/>
  <c r="W3" i="1"/>
  <c r="U3" i="1"/>
  <c r="S3" i="1"/>
  <c r="Q10" i="1"/>
  <c r="O10" i="1"/>
  <c r="M10" i="1"/>
  <c r="Q9" i="1"/>
  <c r="O9" i="1"/>
  <c r="M9" i="1"/>
  <c r="Q8" i="1"/>
  <c r="O8" i="1"/>
  <c r="P8" i="1" s="1"/>
  <c r="M8" i="1"/>
  <c r="N8" i="1" s="1"/>
  <c r="Q7" i="1"/>
  <c r="O7" i="1"/>
  <c r="P7" i="1" s="1"/>
  <c r="M7" i="1"/>
  <c r="Q6" i="1"/>
  <c r="O6" i="1"/>
  <c r="M6" i="1"/>
  <c r="Q5" i="1"/>
  <c r="O5" i="1"/>
  <c r="M5" i="1"/>
  <c r="Q4" i="1"/>
  <c r="O4" i="1"/>
  <c r="P4" i="1" s="1"/>
  <c r="M4" i="1"/>
  <c r="N4" i="1" s="1"/>
  <c r="Q3" i="1"/>
  <c r="M3" i="1"/>
  <c r="K10" i="1"/>
  <c r="K9" i="1"/>
  <c r="K8" i="1"/>
  <c r="K7" i="1"/>
  <c r="K6" i="1"/>
  <c r="K5" i="1"/>
  <c r="K4" i="1"/>
  <c r="K3" i="1"/>
  <c r="I8" i="1"/>
  <c r="J8" i="1" s="1"/>
  <c r="I9" i="1"/>
  <c r="I10" i="1"/>
  <c r="I6" i="1"/>
  <c r="I5" i="1"/>
  <c r="I7" i="1"/>
  <c r="J7" i="1" s="1"/>
  <c r="I4" i="1"/>
  <c r="J4" i="1" s="1"/>
  <c r="I3" i="1"/>
  <c r="J3" i="1" s="1"/>
  <c r="G10" i="1"/>
  <c r="G9" i="1"/>
  <c r="G8" i="1"/>
  <c r="G7" i="1"/>
  <c r="G4" i="1"/>
  <c r="G5" i="1"/>
  <c r="G6" i="1"/>
  <c r="W95" i="1" l="1"/>
  <c r="O74" i="1"/>
  <c r="O75" i="1" s="1"/>
  <c r="W92" i="1"/>
  <c r="U83" i="1"/>
  <c r="G50" i="1"/>
  <c r="Q89" i="1"/>
  <c r="Q97" i="1" s="1"/>
  <c r="W89" i="1"/>
  <c r="W93" i="1"/>
  <c r="F27" i="1"/>
  <c r="G49" i="1"/>
  <c r="S70" i="1"/>
  <c r="U70" i="1" s="1"/>
  <c r="I44" i="1"/>
  <c r="O80" i="1"/>
  <c r="Q90" i="1"/>
  <c r="Q94" i="1"/>
  <c r="S68" i="1"/>
  <c r="U68" i="1" s="1"/>
  <c r="U75" i="1" s="1"/>
  <c r="S72" i="1"/>
  <c r="U72" i="1" s="1"/>
  <c r="K97" i="1"/>
  <c r="W96" i="1"/>
  <c r="H8" i="1"/>
  <c r="S83" i="1"/>
  <c r="K93" i="1"/>
  <c r="I75" i="1"/>
  <c r="W91" i="1"/>
  <c r="S78" i="1"/>
  <c r="S79" i="1"/>
  <c r="F22" i="1"/>
  <c r="C22" i="1" s="1"/>
  <c r="I81" i="1"/>
  <c r="I85" i="1"/>
  <c r="O85" i="1"/>
  <c r="U81" i="1"/>
  <c r="U85" i="1"/>
  <c r="U91" i="1"/>
  <c r="I59" i="1"/>
  <c r="O59" i="1"/>
  <c r="U59" i="1"/>
  <c r="W45" i="1"/>
  <c r="I45" i="1"/>
  <c r="G63" i="1"/>
  <c r="S59" i="1"/>
  <c r="S63" i="1"/>
  <c r="M81" i="1"/>
  <c r="F101" i="1"/>
  <c r="H101" i="1" s="1"/>
  <c r="I101" i="1"/>
  <c r="J101" i="1" s="1"/>
  <c r="O81" i="1"/>
  <c r="F102" i="1"/>
  <c r="H102" i="1" s="1"/>
  <c r="I102" i="1"/>
  <c r="J102" i="1" s="1"/>
  <c r="S74" i="1"/>
  <c r="U74" i="1" s="1"/>
  <c r="W46" i="1"/>
  <c r="J20" i="1"/>
  <c r="I48" i="1"/>
  <c r="G48" i="1" s="1"/>
  <c r="U56" i="1"/>
  <c r="I56" i="1"/>
  <c r="O56" i="1"/>
  <c r="G60" i="1"/>
  <c r="M60" i="1"/>
  <c r="S56" i="1"/>
  <c r="S60" i="1"/>
  <c r="G78" i="1"/>
  <c r="M78" i="1"/>
  <c r="I89" i="1"/>
  <c r="F103" i="1"/>
  <c r="I103" i="1"/>
  <c r="J103" i="1" s="1"/>
  <c r="F104" i="1"/>
  <c r="I104" i="1"/>
  <c r="J104" i="1" s="1"/>
  <c r="I90" i="1"/>
  <c r="F105" i="1"/>
  <c r="H105" i="1" s="1"/>
  <c r="I105" i="1"/>
  <c r="J105" i="1" s="1"/>
  <c r="W50" i="1"/>
  <c r="I57" i="1"/>
  <c r="O57" i="1"/>
  <c r="U57" i="1"/>
  <c r="U61" i="1"/>
  <c r="I61" i="1"/>
  <c r="O61" i="1"/>
  <c r="F106" i="1"/>
  <c r="H106" i="1" s="1"/>
  <c r="I106" i="1"/>
  <c r="J106" i="1" s="1"/>
  <c r="W47" i="1"/>
  <c r="H5" i="1"/>
  <c r="I79" i="1"/>
  <c r="O79" i="1"/>
  <c r="O86" i="1" s="1"/>
  <c r="O83" i="1"/>
  <c r="U79" i="1"/>
  <c r="F107" i="1"/>
  <c r="H107" i="1" s="1"/>
  <c r="I107" i="1"/>
  <c r="J107" i="1" s="1"/>
  <c r="W44" i="1"/>
  <c r="F108" i="1"/>
  <c r="H108" i="1" s="1"/>
  <c r="I108" i="1"/>
  <c r="J108" i="1" s="1"/>
  <c r="O49" i="1"/>
  <c r="U62" i="1"/>
  <c r="I62" i="1"/>
  <c r="O62" i="1"/>
  <c r="W51" i="1"/>
  <c r="I58" i="1"/>
  <c r="O58" i="1"/>
  <c r="U58" i="1"/>
  <c r="T22" i="1"/>
  <c r="Q22" i="1" s="1"/>
  <c r="G51" i="1"/>
  <c r="I80" i="1"/>
  <c r="I86" i="1" s="1"/>
  <c r="I84" i="1"/>
  <c r="O84" i="1"/>
  <c r="U80" i="1"/>
  <c r="U84" i="1"/>
  <c r="S85" i="1"/>
  <c r="Y48" i="1"/>
  <c r="W48" i="1" s="1"/>
  <c r="I91" i="1"/>
  <c r="U78" i="1"/>
  <c r="S82" i="1"/>
  <c r="H7" i="1"/>
  <c r="S81" i="1"/>
  <c r="N5" i="1"/>
  <c r="N9" i="1"/>
  <c r="T5" i="1"/>
  <c r="T9" i="1"/>
  <c r="T21" i="1"/>
  <c r="Q21" i="1" s="1"/>
  <c r="T25" i="1"/>
  <c r="Q25" i="1" s="1"/>
  <c r="S80" i="1"/>
  <c r="P10" i="1"/>
  <c r="H6" i="1"/>
  <c r="T24" i="1"/>
  <c r="Q24" i="1" s="1"/>
  <c r="M23" i="1"/>
  <c r="J23" i="1" s="1"/>
  <c r="M27" i="1"/>
  <c r="T23" i="1"/>
  <c r="Q23" i="1" s="1"/>
  <c r="J21" i="1"/>
  <c r="M22" i="1"/>
  <c r="J22" i="1" s="1"/>
  <c r="V4" i="1"/>
  <c r="V8" i="1"/>
  <c r="T26" i="1"/>
  <c r="Q26" i="1" s="1"/>
  <c r="H9" i="1"/>
  <c r="M26" i="1"/>
  <c r="H10" i="1"/>
  <c r="N6" i="1"/>
  <c r="N10" i="1"/>
  <c r="T6" i="1"/>
  <c r="T10" i="1"/>
  <c r="T20" i="1"/>
  <c r="Q20" i="1" s="1"/>
  <c r="T27" i="1"/>
  <c r="Q27" i="1" s="1"/>
  <c r="J5" i="1"/>
  <c r="V3" i="1"/>
  <c r="C23" i="1"/>
  <c r="C21" i="1"/>
  <c r="P5" i="1"/>
  <c r="P9" i="1"/>
  <c r="V5" i="1"/>
  <c r="C20" i="1"/>
  <c r="V9" i="1"/>
  <c r="J9" i="1"/>
  <c r="P6" i="1"/>
  <c r="V6" i="1"/>
  <c r="V10" i="1"/>
  <c r="H3" i="1"/>
  <c r="J6" i="1"/>
  <c r="J10" i="1"/>
  <c r="H4" i="1"/>
  <c r="N7" i="1"/>
  <c r="T3" i="1"/>
  <c r="T7" i="1"/>
  <c r="V7" i="1"/>
  <c r="W97" i="1" l="1"/>
  <c r="U86" i="1"/>
  <c r="H103" i="1"/>
  <c r="U63" i="1"/>
  <c r="U64" i="1" s="1"/>
  <c r="I63" i="1"/>
  <c r="O63" i="1"/>
  <c r="O64" i="1" s="1"/>
  <c r="I60" i="1"/>
  <c r="I64" i="1" s="1"/>
  <c r="U60" i="1"/>
  <c r="O60" i="1"/>
  <c r="H104" i="1"/>
  <c r="J28" i="1"/>
  <c r="C28" i="1"/>
  <c r="T11" i="1"/>
  <c r="Q28" i="1"/>
  <c r="H11" i="1"/>
  <c r="N11" i="1"/>
</calcChain>
</file>

<file path=xl/sharedStrings.xml><?xml version="1.0" encoding="utf-8"?>
<sst xmlns="http://schemas.openxmlformats.org/spreadsheetml/2006/main" count="226" uniqueCount="71">
  <si>
    <t>1) Puedo manejar un auto si solos si tiene dirección hidráulica o tiene baúl.</t>
  </si>
  <si>
    <t xml:space="preserve">p= puedo manejar un auto </t>
  </si>
  <si>
    <t>q=tiene direccion hidraulica</t>
  </si>
  <si>
    <t>r=tiene baul</t>
  </si>
  <si>
    <t>2)Gabriel García Márquez fue un gran escritor entonces no será siempre recordado y</t>
  </si>
  <si>
    <t>siempre será admirado.</t>
  </si>
  <si>
    <t>p= ggm fue un gran escritor</t>
  </si>
  <si>
    <t>q= sera siempre recordado</t>
  </si>
  <si>
    <t>p</t>
  </si>
  <si>
    <t>.&lt;====&gt;</t>
  </si>
  <si>
    <t>q</t>
  </si>
  <si>
    <t>o</t>
  </si>
  <si>
    <t>r</t>
  </si>
  <si>
    <t>r=siempre sera admirado</t>
  </si>
  <si>
    <t>y</t>
  </si>
  <si>
    <t>.===&gt;</t>
  </si>
  <si>
    <t>no q (~)</t>
  </si>
  <si>
    <t>3) Comprare una casa y comprare un auto si gano la lotería.</t>
  </si>
  <si>
    <t>p=comprare una casa</t>
  </si>
  <si>
    <t xml:space="preserve">q=comprare un auto </t>
  </si>
  <si>
    <t>r=gano la loteria</t>
  </si>
  <si>
    <t>.====&gt;</t>
  </si>
  <si>
    <t xml:space="preserve">4)No todos los números primos son impares </t>
  </si>
  <si>
    <t>entonces el dos es primo y el numero 14 no lo es.</t>
  </si>
  <si>
    <t>p=todos los numeros primos son impares</t>
  </si>
  <si>
    <t>q=el dos es primo</t>
  </si>
  <si>
    <t>r=numero 14</t>
  </si>
  <si>
    <t>~p(no)</t>
  </si>
  <si>
    <t>~r(no)</t>
  </si>
  <si>
    <t>5)Mi cuñado será arquitecto o ingeniero y será albañil.</t>
  </si>
  <si>
    <t>p=mi cuñado sera arquitecto</t>
  </si>
  <si>
    <t>q= ingeniero</t>
  </si>
  <si>
    <t>r=sera albañil</t>
  </si>
  <si>
    <t>(p V q ^ r)</t>
  </si>
  <si>
    <t>(~p ===&gt; q ^ ~r)</t>
  </si>
  <si>
    <t>6)Los aparatos tecnológicos son negros, blancos o grises.</t>
  </si>
  <si>
    <t>7)Si tengo hambre pues cocino si solo si me deja mi esposa.</t>
  </si>
  <si>
    <t>p=tengo hambre</t>
  </si>
  <si>
    <t>q=cocino</t>
  </si>
  <si>
    <t>r=me deja mi esposa</t>
  </si>
  <si>
    <t>p .==&gt; q &lt;==&gt; r</t>
  </si>
  <si>
    <t>.&lt;===&gt;</t>
  </si>
  <si>
    <t>8)Turquía es un país que se encuentra en Asia y Europa entonces visitarlo costaría</t>
  </si>
  <si>
    <t>mucho.</t>
  </si>
  <si>
    <t>p=turquia es un pais q se encuentra en asia</t>
  </si>
  <si>
    <t>q=europa</t>
  </si>
  <si>
    <t>r=visitarlo costaria mucho</t>
  </si>
  <si>
    <t>p ^ q .===&gt; r</t>
  </si>
  <si>
    <t>p=argentina</t>
  </si>
  <si>
    <t>q=festejare toda la noche</t>
  </si>
  <si>
    <t>r=me ire a dormir temprano</t>
  </si>
  <si>
    <t>10) Comprare un auto y viajare por el país o no lo compro y me voy en avión.</t>
  </si>
  <si>
    <t>p= comprare un auto</t>
  </si>
  <si>
    <t>p ==&gt; q V ~p .==&gt; r</t>
  </si>
  <si>
    <t>~p (no)</t>
  </si>
  <si>
    <t>p=los aparatos tecnologicos son negros</t>
  </si>
  <si>
    <t>q=son blancos</t>
  </si>
  <si>
    <t>r=son grises</t>
  </si>
  <si>
    <t>p V q V r</t>
  </si>
  <si>
    <t>q= viajare por el pais</t>
  </si>
  <si>
    <t>s= me voy en avion</t>
  </si>
  <si>
    <t>p ^ q V ~r ^ s</t>
  </si>
  <si>
    <t xml:space="preserve">9) SI argentina gana, festejare toda la </t>
  </si>
  <si>
    <t>noche o sino me ire a dormir temprano.</t>
  </si>
  <si>
    <t>no p (~)=  no lo compro</t>
  </si>
  <si>
    <t>no p (~)</t>
  </si>
  <si>
    <t>(q</t>
  </si>
  <si>
    <t>~r(no) )</t>
  </si>
  <si>
    <t>p ^ q ==&gt; r</t>
  </si>
  <si>
    <t>p &lt;---&gt; q V r</t>
  </si>
  <si>
    <t>p ----&gt; q (~q) ^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</si>
</sst>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0" borderId="7" xfId="0" applyBorder="1"/>
    <xf numFmtId="0" fontId="0" fillId="2" borderId="5" xfId="0" applyFill="1" applyBorder="1"/>
    <xf numFmtId="0" fontId="0" fillId="0" borderId="0" xfId="0" applyBorder="1"/>
    <xf numFmtId="0" fontId="0" fillId="2" borderId="1" xfId="0" applyFont="1" applyFill="1" applyBorder="1"/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123"/>
  <sheetViews>
    <sheetView tabSelected="1" topLeftCell="F18" zoomScale="115" zoomScaleNormal="115" workbookViewId="0">
      <selection activeCell="O32" sqref="O32:O39"/>
    </sheetView>
  </sheetViews>
  <sheetFormatPr baseColWidth="10" defaultColWidth="8.88671875" defaultRowHeight="14.4" x14ac:dyDescent="0.3"/>
  <cols>
    <col min="1" max="1" width="11" customWidth="1"/>
    <col min="2" max="9" width="11.5546875" bestFit="1" customWidth="1"/>
    <col min="10" max="10" width="11" customWidth="1"/>
    <col min="11" max="12" width="11.44140625" bestFit="1" customWidth="1"/>
    <col min="13" max="13" width="11.44140625" customWidth="1"/>
    <col min="14" max="14" width="11.44140625" bestFit="1" customWidth="1"/>
    <col min="15" max="15" width="11.5546875" bestFit="1" customWidth="1"/>
    <col min="16" max="20" width="11.77734375" bestFit="1" customWidth="1"/>
    <col min="21" max="21" width="11.5546875" bestFit="1" customWidth="1"/>
    <col min="22" max="24" width="11.77734375" bestFit="1" customWidth="1"/>
    <col min="25" max="25" width="11.6640625" customWidth="1"/>
    <col min="26" max="26" width="11.77734375" bestFit="1" customWidth="1"/>
    <col min="27" max="29" width="11.21875" bestFit="1" customWidth="1"/>
  </cols>
  <sheetData>
    <row r="2" spans="1:23" x14ac:dyDescent="0.3">
      <c r="A2" t="s">
        <v>0</v>
      </c>
      <c r="G2" s="1" t="s">
        <v>8</v>
      </c>
      <c r="H2" s="2" t="s">
        <v>9</v>
      </c>
      <c r="I2" s="1" t="s">
        <v>10</v>
      </c>
      <c r="J2" s="2" t="s">
        <v>11</v>
      </c>
      <c r="K2" s="1" t="s">
        <v>12</v>
      </c>
      <c r="M2" s="1" t="s">
        <v>8</v>
      </c>
      <c r="N2" s="2" t="s">
        <v>9</v>
      </c>
      <c r="O2" s="1" t="s">
        <v>10</v>
      </c>
      <c r="P2" s="2" t="s">
        <v>11</v>
      </c>
      <c r="Q2" s="1" t="s">
        <v>12</v>
      </c>
      <c r="S2" s="1" t="s">
        <v>8</v>
      </c>
      <c r="T2" s="2" t="s">
        <v>9</v>
      </c>
      <c r="U2" s="1" t="s">
        <v>10</v>
      </c>
      <c r="V2" s="2" t="s">
        <v>11</v>
      </c>
      <c r="W2" s="1" t="s">
        <v>12</v>
      </c>
    </row>
    <row r="3" spans="1:23" x14ac:dyDescent="0.3">
      <c r="A3" t="s">
        <v>1</v>
      </c>
      <c r="G3" s="1" t="b">
        <f>TRUE</f>
        <v>1</v>
      </c>
      <c r="H3" s="2" t="b">
        <f>IF(G3=I3,TRUE,FALSE)</f>
        <v>1</v>
      </c>
      <c r="I3" s="1" t="b">
        <f>TRUE</f>
        <v>1</v>
      </c>
      <c r="J3" s="2" t="b">
        <f>IF(I3=FALSE,K3,TRUE)</f>
        <v>1</v>
      </c>
      <c r="K3" s="1" t="b">
        <f>TRUE</f>
        <v>1</v>
      </c>
      <c r="M3" s="1" t="b">
        <f>TRUE</f>
        <v>1</v>
      </c>
      <c r="N3" s="2" t="b">
        <f>IF(M3&lt;&gt;O3,FALSE,TRUE)</f>
        <v>1</v>
      </c>
      <c r="O3" s="1" t="b">
        <f>TRUE</f>
        <v>1</v>
      </c>
      <c r="P3" s="2" t="b">
        <f>IF(NOT(O3),Q3,TRUE)</f>
        <v>1</v>
      </c>
      <c r="Q3" s="1" t="b">
        <f>TRUE</f>
        <v>1</v>
      </c>
      <c r="S3" s="1" t="b">
        <f>TRUE</f>
        <v>1</v>
      </c>
      <c r="T3" s="2" t="b">
        <f>EXACT(S3,U3)</f>
        <v>1</v>
      </c>
      <c r="U3" s="1" t="b">
        <f>TRUE</f>
        <v>1</v>
      </c>
      <c r="V3" s="2" t="b">
        <f t="shared" ref="V3:V10" si="0">IF(AND(U3=FALSE,W3=FALSE),FALSE,TRUE)</f>
        <v>1</v>
      </c>
      <c r="W3" s="1" t="b">
        <f>TRUE</f>
        <v>1</v>
      </c>
    </row>
    <row r="4" spans="1:23" x14ac:dyDescent="0.3">
      <c r="A4" t="s">
        <v>2</v>
      </c>
      <c r="G4" s="1" t="b">
        <f>TRUE</f>
        <v>1</v>
      </c>
      <c r="H4" s="2" t="b">
        <f t="shared" ref="H4:H10" si="1">IF(G4=I4,TRUE,FALSE)</f>
        <v>1</v>
      </c>
      <c r="I4" s="1" t="b">
        <f>TRUE</f>
        <v>1</v>
      </c>
      <c r="J4" s="2" t="b">
        <f t="shared" ref="J4:J10" si="2">IF(I4=FALSE,K4,TRUE)</f>
        <v>1</v>
      </c>
      <c r="K4" s="1" t="b">
        <f>FALSE</f>
        <v>0</v>
      </c>
      <c r="M4" s="1" t="b">
        <f>TRUE</f>
        <v>1</v>
      </c>
      <c r="N4" s="2" t="b">
        <f t="shared" ref="N4:N10" si="3">IF(M4&lt;&gt;O4,FALSE,TRUE)</f>
        <v>1</v>
      </c>
      <c r="O4" s="1" t="b">
        <f>TRUE</f>
        <v>1</v>
      </c>
      <c r="P4" s="2" t="b">
        <f t="shared" ref="P4:P10" si="4">IF(NOT(O4),Q4,TRUE)</f>
        <v>1</v>
      </c>
      <c r="Q4" s="1" t="b">
        <f>FALSE</f>
        <v>0</v>
      </c>
      <c r="S4" s="1" t="b">
        <f>TRUE</f>
        <v>1</v>
      </c>
      <c r="T4" s="2" t="b">
        <f t="shared" ref="T4:T10" si="5">EXACT(S4,U4)</f>
        <v>1</v>
      </c>
      <c r="U4" s="1" t="b">
        <f>TRUE</f>
        <v>1</v>
      </c>
      <c r="V4" s="2" t="b">
        <f t="shared" si="0"/>
        <v>1</v>
      </c>
      <c r="W4" s="1" t="b">
        <f>FALSE</f>
        <v>0</v>
      </c>
    </row>
    <row r="5" spans="1:23" x14ac:dyDescent="0.3">
      <c r="A5" t="s">
        <v>3</v>
      </c>
      <c r="G5" s="1" t="b">
        <f>TRUE</f>
        <v>1</v>
      </c>
      <c r="H5" s="2" t="b">
        <f t="shared" si="1"/>
        <v>0</v>
      </c>
      <c r="I5" s="1" t="b">
        <f>FALSE</f>
        <v>0</v>
      </c>
      <c r="J5" s="2" t="b">
        <f t="shared" si="2"/>
        <v>1</v>
      </c>
      <c r="K5" s="1" t="b">
        <f>TRUE</f>
        <v>1</v>
      </c>
      <c r="M5" s="1" t="b">
        <f>TRUE</f>
        <v>1</v>
      </c>
      <c r="N5" s="2" t="b">
        <f t="shared" si="3"/>
        <v>0</v>
      </c>
      <c r="O5" s="1" t="b">
        <f>FALSE</f>
        <v>0</v>
      </c>
      <c r="P5" s="2" t="b">
        <f t="shared" si="4"/>
        <v>1</v>
      </c>
      <c r="Q5" s="1" t="b">
        <f>TRUE</f>
        <v>1</v>
      </c>
      <c r="S5" s="1" t="b">
        <f>TRUE</f>
        <v>1</v>
      </c>
      <c r="T5" s="2" t="b">
        <f t="shared" si="5"/>
        <v>0</v>
      </c>
      <c r="U5" s="1" t="b">
        <f>FALSE</f>
        <v>0</v>
      </c>
      <c r="V5" s="2" t="b">
        <f t="shared" si="0"/>
        <v>1</v>
      </c>
      <c r="W5" s="1" t="b">
        <f>TRUE</f>
        <v>1</v>
      </c>
    </row>
    <row r="6" spans="1:23" x14ac:dyDescent="0.3">
      <c r="A6" t="s">
        <v>69</v>
      </c>
      <c r="G6" s="1" t="b">
        <f>TRUE</f>
        <v>1</v>
      </c>
      <c r="H6" s="2" t="b">
        <f t="shared" si="1"/>
        <v>0</v>
      </c>
      <c r="I6" s="1" t="b">
        <f>FALSE</f>
        <v>0</v>
      </c>
      <c r="J6" s="2" t="b">
        <f t="shared" si="2"/>
        <v>0</v>
      </c>
      <c r="K6" s="1" t="b">
        <f>FALSE</f>
        <v>0</v>
      </c>
      <c r="M6" s="1" t="b">
        <f>TRUE</f>
        <v>1</v>
      </c>
      <c r="N6" s="2" t="b">
        <f t="shared" si="3"/>
        <v>0</v>
      </c>
      <c r="O6" s="1" t="b">
        <f>FALSE</f>
        <v>0</v>
      </c>
      <c r="P6" s="2" t="b">
        <f t="shared" si="4"/>
        <v>0</v>
      </c>
      <c r="Q6" s="1" t="b">
        <f>FALSE</f>
        <v>0</v>
      </c>
      <c r="S6" s="1" t="b">
        <f>TRUE</f>
        <v>1</v>
      </c>
      <c r="T6" s="2" t="b">
        <f t="shared" si="5"/>
        <v>0</v>
      </c>
      <c r="U6" s="1" t="b">
        <f>FALSE</f>
        <v>0</v>
      </c>
      <c r="V6" s="2" t="b">
        <f t="shared" si="0"/>
        <v>0</v>
      </c>
      <c r="W6" s="1" t="b">
        <f>FALSE</f>
        <v>0</v>
      </c>
    </row>
    <row r="7" spans="1:23" x14ac:dyDescent="0.3">
      <c r="G7" s="1" t="b">
        <f>FALSE</f>
        <v>0</v>
      </c>
      <c r="H7" s="2" t="b">
        <f t="shared" si="1"/>
        <v>0</v>
      </c>
      <c r="I7" s="1" t="b">
        <f>TRUE</f>
        <v>1</v>
      </c>
      <c r="J7" s="2" t="b">
        <f t="shared" si="2"/>
        <v>1</v>
      </c>
      <c r="K7" s="1" t="b">
        <f>TRUE</f>
        <v>1</v>
      </c>
      <c r="M7" s="1" t="b">
        <f>FALSE</f>
        <v>0</v>
      </c>
      <c r="N7" s="2" t="b">
        <f t="shared" si="3"/>
        <v>0</v>
      </c>
      <c r="O7" s="1" t="b">
        <f>TRUE</f>
        <v>1</v>
      </c>
      <c r="P7" s="2" t="b">
        <f t="shared" si="4"/>
        <v>1</v>
      </c>
      <c r="Q7" s="1" t="b">
        <f>TRUE</f>
        <v>1</v>
      </c>
      <c r="S7" s="1" t="b">
        <f>FALSE</f>
        <v>0</v>
      </c>
      <c r="T7" s="2" t="b">
        <f t="shared" si="5"/>
        <v>0</v>
      </c>
      <c r="U7" s="1" t="b">
        <f>TRUE</f>
        <v>1</v>
      </c>
      <c r="V7" s="2" t="b">
        <f t="shared" si="0"/>
        <v>1</v>
      </c>
      <c r="W7" s="1" t="b">
        <f>TRUE</f>
        <v>1</v>
      </c>
    </row>
    <row r="8" spans="1:23" x14ac:dyDescent="0.3">
      <c r="G8" s="1" t="b">
        <f>FALSE</f>
        <v>0</v>
      </c>
      <c r="H8" s="2" t="b">
        <f t="shared" si="1"/>
        <v>0</v>
      </c>
      <c r="I8" s="1" t="b">
        <f>TRUE</f>
        <v>1</v>
      </c>
      <c r="J8" s="2" t="b">
        <f t="shared" si="2"/>
        <v>1</v>
      </c>
      <c r="K8" s="1" t="b">
        <f>FALSE</f>
        <v>0</v>
      </c>
      <c r="M8" s="1" t="b">
        <f>FALSE</f>
        <v>0</v>
      </c>
      <c r="N8" s="2" t="b">
        <f t="shared" si="3"/>
        <v>0</v>
      </c>
      <c r="O8" s="1" t="b">
        <f>TRUE</f>
        <v>1</v>
      </c>
      <c r="P8" s="2" t="b">
        <f t="shared" si="4"/>
        <v>1</v>
      </c>
      <c r="Q8" s="1" t="b">
        <f>FALSE</f>
        <v>0</v>
      </c>
      <c r="S8" s="1" t="b">
        <f>FALSE</f>
        <v>0</v>
      </c>
      <c r="T8" s="2" t="b">
        <f t="shared" si="5"/>
        <v>0</v>
      </c>
      <c r="U8" s="1" t="b">
        <f>TRUE</f>
        <v>1</v>
      </c>
      <c r="V8" s="2" t="b">
        <f t="shared" si="0"/>
        <v>1</v>
      </c>
      <c r="W8" s="1" t="b">
        <f>FALSE</f>
        <v>0</v>
      </c>
    </row>
    <row r="9" spans="1:23" x14ac:dyDescent="0.3">
      <c r="G9" s="1" t="b">
        <f>FALSE</f>
        <v>0</v>
      </c>
      <c r="H9" s="2" t="b">
        <f t="shared" si="1"/>
        <v>1</v>
      </c>
      <c r="I9" s="1" t="b">
        <f>FALSE</f>
        <v>0</v>
      </c>
      <c r="J9" s="2" t="b">
        <f t="shared" si="2"/>
        <v>1</v>
      </c>
      <c r="K9" s="8" t="b">
        <f>TRUE</f>
        <v>1</v>
      </c>
      <c r="L9" s="7"/>
      <c r="M9" s="6" t="b">
        <f>FALSE</f>
        <v>0</v>
      </c>
      <c r="N9" s="2" t="b">
        <f t="shared" si="3"/>
        <v>1</v>
      </c>
      <c r="O9" s="1" t="b">
        <f>FALSE</f>
        <v>0</v>
      </c>
      <c r="P9" s="2" t="b">
        <f t="shared" si="4"/>
        <v>1</v>
      </c>
      <c r="Q9" s="1" t="b">
        <f>TRUE</f>
        <v>1</v>
      </c>
      <c r="S9" s="1" t="b">
        <f>FALSE</f>
        <v>0</v>
      </c>
      <c r="T9" s="2" t="b">
        <f t="shared" si="5"/>
        <v>1</v>
      </c>
      <c r="U9" s="1" t="b">
        <f>FALSE</f>
        <v>0</v>
      </c>
      <c r="V9" s="2" t="b">
        <f t="shared" si="0"/>
        <v>1</v>
      </c>
      <c r="W9" s="1" t="b">
        <f>TRUE</f>
        <v>1</v>
      </c>
    </row>
    <row r="10" spans="1:23" x14ac:dyDescent="0.3">
      <c r="G10" s="1" t="b">
        <f>FALSE</f>
        <v>0</v>
      </c>
      <c r="H10" s="2" t="b">
        <f t="shared" si="1"/>
        <v>1</v>
      </c>
      <c r="I10" s="1" t="b">
        <f>FALSE</f>
        <v>0</v>
      </c>
      <c r="J10" s="4" t="b">
        <f t="shared" si="2"/>
        <v>0</v>
      </c>
      <c r="K10" s="5" t="b">
        <f>FALSE</f>
        <v>0</v>
      </c>
      <c r="L10" s="7"/>
      <c r="M10" s="6" t="b">
        <f>FALSE</f>
        <v>0</v>
      </c>
      <c r="N10" s="2" t="b">
        <f t="shared" si="3"/>
        <v>1</v>
      </c>
      <c r="O10" s="1" t="b">
        <f>FALSE</f>
        <v>0</v>
      </c>
      <c r="P10" s="2" t="b">
        <f t="shared" si="4"/>
        <v>0</v>
      </c>
      <c r="Q10" s="1" t="b">
        <f>FALSE</f>
        <v>0</v>
      </c>
      <c r="S10" s="1" t="b">
        <f>FALSE</f>
        <v>0</v>
      </c>
      <c r="T10" s="2" t="b">
        <f t="shared" si="5"/>
        <v>1</v>
      </c>
      <c r="U10" s="1" t="b">
        <f>FALSE</f>
        <v>0</v>
      </c>
      <c r="V10" s="2" t="b">
        <f t="shared" si="0"/>
        <v>0</v>
      </c>
      <c r="W10" s="1" t="b">
        <f>FALSE</f>
        <v>0</v>
      </c>
    </row>
    <row r="11" spans="1:23" x14ac:dyDescent="0.3">
      <c r="A11" t="s">
        <v>4</v>
      </c>
      <c r="H11" s="3" t="str">
        <f>IF(COUNTIF(H3:H10,TRUE)=COUNTA(H3:H10),"TAUTOLOGIA",IF(COUNTIF(H3:H10,FALSE)=COUNTA(H3:H10),"CONTRADICCION","REFUTABLE"))</f>
        <v>REFUTABLE</v>
      </c>
      <c r="N11" s="3" t="str">
        <f>IF(COUNTIF(N3:N10,TRUE)=COUNTA(N3:N10),"TAUTOLOGIA",IF(COUNTIF(N3:N10,FALSE)=COUNTA(N3:N10),"CONTRADICCION","REFUTABLE"))</f>
        <v>REFUTABLE</v>
      </c>
      <c r="T11" s="3" t="str">
        <f>IF(COUNTIF(T3:T10,TRUE)=COUNTA(T3:T10),"TAUTOLOGIA",IF(COUNTIF(T3:T10,FALSE)=COUNTA(T3:T10),"CONTRADICCION","REFUTABLE"))</f>
        <v>REFUTABLE</v>
      </c>
    </row>
    <row r="12" spans="1:23" x14ac:dyDescent="0.3">
      <c r="A12" t="s">
        <v>5</v>
      </c>
    </row>
    <row r="13" spans="1:23" x14ac:dyDescent="0.3">
      <c r="A13" t="s">
        <v>6</v>
      </c>
    </row>
    <row r="14" spans="1:23" x14ac:dyDescent="0.3">
      <c r="A14" t="s">
        <v>7</v>
      </c>
    </row>
    <row r="15" spans="1:23" x14ac:dyDescent="0.3">
      <c r="A15" t="s">
        <v>13</v>
      </c>
    </row>
    <row r="16" spans="1:23" x14ac:dyDescent="0.3">
      <c r="A16" t="s">
        <v>70</v>
      </c>
    </row>
    <row r="19" spans="1:22" x14ac:dyDescent="0.3">
      <c r="B19" t="s">
        <v>8</v>
      </c>
      <c r="C19" t="s">
        <v>15</v>
      </c>
      <c r="D19" t="s">
        <v>10</v>
      </c>
      <c r="E19" t="s">
        <v>16</v>
      </c>
      <c r="F19" t="s">
        <v>14</v>
      </c>
      <c r="G19" t="s">
        <v>12</v>
      </c>
      <c r="I19" t="s">
        <v>8</v>
      </c>
      <c r="J19" t="s">
        <v>15</v>
      </c>
      <c r="K19" t="s">
        <v>10</v>
      </c>
      <c r="L19" t="s">
        <v>16</v>
      </c>
      <c r="M19" t="s">
        <v>14</v>
      </c>
      <c r="N19" t="s">
        <v>12</v>
      </c>
      <c r="P19" t="s">
        <v>8</v>
      </c>
      <c r="Q19" t="s">
        <v>15</v>
      </c>
      <c r="R19" t="s">
        <v>10</v>
      </c>
      <c r="S19" t="s">
        <v>16</v>
      </c>
      <c r="T19" t="s">
        <v>14</v>
      </c>
      <c r="U19" t="s">
        <v>12</v>
      </c>
    </row>
    <row r="20" spans="1:22" x14ac:dyDescent="0.3">
      <c r="B20" s="1" t="b">
        <f>TRUE</f>
        <v>1</v>
      </c>
      <c r="C20" s="2" t="b">
        <f t="shared" ref="C20:C27" si="6">IF(B20,F20,TRUE)</f>
        <v>0</v>
      </c>
      <c r="D20" s="1" t="b">
        <f>TRUE</f>
        <v>1</v>
      </c>
      <c r="E20" s="2" t="b">
        <f t="shared" ref="E20:E27" si="7">IF(D20,FALSE,TRUE)</f>
        <v>0</v>
      </c>
      <c r="F20" s="2" t="b">
        <f>IF(E20,G20,FALSE)</f>
        <v>0</v>
      </c>
      <c r="G20" s="1" t="b">
        <f>TRUE</f>
        <v>1</v>
      </c>
      <c r="I20" s="1" t="b">
        <f>TRUE</f>
        <v>1</v>
      </c>
      <c r="J20" s="2" t="b">
        <f>IF(I20=FALSE,TRUE,M20)</f>
        <v>0</v>
      </c>
      <c r="K20" s="1" t="b">
        <f>TRUE</f>
        <v>1</v>
      </c>
      <c r="L20" s="2" t="b">
        <f t="shared" ref="L20:L27" si="8">IF(K20=FALSE,TRUE)</f>
        <v>0</v>
      </c>
      <c r="M20" s="2" t="b">
        <f t="shared" ref="M20:M27" si="9">IF(L20=FALSE,FALSE,N20)</f>
        <v>0</v>
      </c>
      <c r="N20" s="1" t="b">
        <f>TRUE</f>
        <v>1</v>
      </c>
      <c r="P20" s="1" t="b">
        <f>TRUE</f>
        <v>1</v>
      </c>
      <c r="Q20" s="2" t="b">
        <f>IF(AND(P20,T20=FALSE),FALSE,TRUE)</f>
        <v>0</v>
      </c>
      <c r="R20" s="1" t="b">
        <f>TRUE</f>
        <v>1</v>
      </c>
      <c r="S20" s="2" t="b">
        <f t="shared" ref="S20:S27" si="10">IF(NOT(R20),TRUE,FALSE)</f>
        <v>0</v>
      </c>
      <c r="T20" s="2" t="b">
        <f>IF(OR(S20=FALSE,U20=FALSE),FALSE,TRUE)</f>
        <v>0</v>
      </c>
      <c r="U20" s="1" t="b">
        <f>TRUE</f>
        <v>1</v>
      </c>
    </row>
    <row r="21" spans="1:22" x14ac:dyDescent="0.3">
      <c r="B21" s="1" t="b">
        <f>TRUE</f>
        <v>1</v>
      </c>
      <c r="C21" s="2" t="b">
        <f t="shared" si="6"/>
        <v>0</v>
      </c>
      <c r="D21" s="1" t="b">
        <f>TRUE</f>
        <v>1</v>
      </c>
      <c r="E21" s="2" t="b">
        <f t="shared" si="7"/>
        <v>0</v>
      </c>
      <c r="F21" s="2" t="b">
        <f t="shared" ref="F21:F27" si="11">IF(E21,G21,FALSE)</f>
        <v>0</v>
      </c>
      <c r="G21" s="1" t="b">
        <f>FALSE</f>
        <v>0</v>
      </c>
      <c r="I21" s="1" t="b">
        <f>TRUE</f>
        <v>1</v>
      </c>
      <c r="J21" s="2" t="b">
        <f t="shared" ref="J21:J27" si="12">IF(I21=FALSE,TRUE,M21)</f>
        <v>0</v>
      </c>
      <c r="K21" s="1" t="b">
        <f>TRUE</f>
        <v>1</v>
      </c>
      <c r="L21" s="2" t="b">
        <f t="shared" si="8"/>
        <v>0</v>
      </c>
      <c r="M21" s="2" t="b">
        <f t="shared" si="9"/>
        <v>0</v>
      </c>
      <c r="N21" s="1" t="b">
        <f>FALSE</f>
        <v>0</v>
      </c>
      <c r="P21" s="1" t="b">
        <f>TRUE</f>
        <v>1</v>
      </c>
      <c r="Q21" s="2" t="b">
        <f t="shared" ref="Q21:Q27" si="13">IF(AND(P21,T21=FALSE),FALSE,TRUE)</f>
        <v>0</v>
      </c>
      <c r="R21" s="1" t="b">
        <f>TRUE</f>
        <v>1</v>
      </c>
      <c r="S21" s="2" t="b">
        <f t="shared" si="10"/>
        <v>0</v>
      </c>
      <c r="T21" s="2" t="b">
        <f t="shared" ref="T21:T26" si="14">IF(OR(S21=FALSE,U21=FALSE),FALSE,TRUE)</f>
        <v>0</v>
      </c>
      <c r="U21" s="1" t="b">
        <f>FALSE</f>
        <v>0</v>
      </c>
    </row>
    <row r="22" spans="1:22" x14ac:dyDescent="0.3">
      <c r="B22" s="1" t="b">
        <f>TRUE</f>
        <v>1</v>
      </c>
      <c r="C22" s="2" t="b">
        <f t="shared" si="6"/>
        <v>1</v>
      </c>
      <c r="D22" s="1" t="b">
        <f>FALSE</f>
        <v>0</v>
      </c>
      <c r="E22" s="2" t="b">
        <f t="shared" si="7"/>
        <v>1</v>
      </c>
      <c r="F22" s="2" t="b">
        <f t="shared" si="11"/>
        <v>1</v>
      </c>
      <c r="G22" s="1" t="b">
        <f>TRUE</f>
        <v>1</v>
      </c>
      <c r="I22" s="1" t="b">
        <f>TRUE</f>
        <v>1</v>
      </c>
      <c r="J22" s="2" t="b">
        <f t="shared" si="12"/>
        <v>1</v>
      </c>
      <c r="K22" s="1" t="b">
        <f>FALSE</f>
        <v>0</v>
      </c>
      <c r="L22" s="2" t="b">
        <f t="shared" si="8"/>
        <v>1</v>
      </c>
      <c r="M22" s="2" t="b">
        <f t="shared" si="9"/>
        <v>1</v>
      </c>
      <c r="N22" s="1" t="b">
        <f>TRUE</f>
        <v>1</v>
      </c>
      <c r="P22" s="1" t="b">
        <f>TRUE</f>
        <v>1</v>
      </c>
      <c r="Q22" s="2" t="b">
        <f t="shared" si="13"/>
        <v>1</v>
      </c>
      <c r="R22" s="1" t="b">
        <f>FALSE</f>
        <v>0</v>
      </c>
      <c r="S22" s="2" t="b">
        <f t="shared" si="10"/>
        <v>1</v>
      </c>
      <c r="T22" s="2" t="b">
        <f t="shared" si="14"/>
        <v>1</v>
      </c>
      <c r="U22" s="1" t="b">
        <f>TRUE</f>
        <v>1</v>
      </c>
    </row>
    <row r="23" spans="1:22" x14ac:dyDescent="0.3">
      <c r="B23" s="1" t="b">
        <f>TRUE</f>
        <v>1</v>
      </c>
      <c r="C23" s="2" t="b">
        <f t="shared" si="6"/>
        <v>0</v>
      </c>
      <c r="D23" s="1" t="b">
        <f>FALSE</f>
        <v>0</v>
      </c>
      <c r="E23" s="2" t="b">
        <f t="shared" si="7"/>
        <v>1</v>
      </c>
      <c r="F23" s="2" t="b">
        <f t="shared" si="11"/>
        <v>0</v>
      </c>
      <c r="G23" s="1" t="b">
        <f>FALSE</f>
        <v>0</v>
      </c>
      <c r="I23" s="1" t="b">
        <f>TRUE</f>
        <v>1</v>
      </c>
      <c r="J23" s="2" t="b">
        <f t="shared" si="12"/>
        <v>0</v>
      </c>
      <c r="K23" s="1" t="b">
        <f>FALSE</f>
        <v>0</v>
      </c>
      <c r="L23" s="2" t="b">
        <f t="shared" si="8"/>
        <v>1</v>
      </c>
      <c r="M23" s="2" t="b">
        <f t="shared" si="9"/>
        <v>0</v>
      </c>
      <c r="N23" s="1" t="b">
        <f>FALSE</f>
        <v>0</v>
      </c>
      <c r="P23" s="1" t="b">
        <f>TRUE</f>
        <v>1</v>
      </c>
      <c r="Q23" s="2" t="b">
        <f t="shared" si="13"/>
        <v>0</v>
      </c>
      <c r="R23" s="1" t="b">
        <f>FALSE</f>
        <v>0</v>
      </c>
      <c r="S23" s="2" t="b">
        <f t="shared" si="10"/>
        <v>1</v>
      </c>
      <c r="T23" s="2" t="b">
        <f t="shared" si="14"/>
        <v>0</v>
      </c>
      <c r="U23" s="1" t="b">
        <f>FALSE</f>
        <v>0</v>
      </c>
    </row>
    <row r="24" spans="1:22" x14ac:dyDescent="0.3">
      <c r="B24" s="1" t="b">
        <f>FALSE</f>
        <v>0</v>
      </c>
      <c r="C24" s="2" t="b">
        <f t="shared" si="6"/>
        <v>1</v>
      </c>
      <c r="D24" s="1" t="b">
        <f>TRUE</f>
        <v>1</v>
      </c>
      <c r="E24" s="2" t="b">
        <f t="shared" si="7"/>
        <v>0</v>
      </c>
      <c r="F24" s="2" t="b">
        <f t="shared" si="11"/>
        <v>0</v>
      </c>
      <c r="G24" s="1" t="b">
        <f>TRUE</f>
        <v>1</v>
      </c>
      <c r="I24" s="1" t="b">
        <f>FALSE</f>
        <v>0</v>
      </c>
      <c r="J24" s="2" t="b">
        <f t="shared" si="12"/>
        <v>1</v>
      </c>
      <c r="K24" s="1" t="b">
        <f>TRUE</f>
        <v>1</v>
      </c>
      <c r="L24" s="2" t="b">
        <f t="shared" si="8"/>
        <v>0</v>
      </c>
      <c r="M24" s="2" t="b">
        <f t="shared" si="9"/>
        <v>0</v>
      </c>
      <c r="N24" s="1" t="b">
        <f>TRUE</f>
        <v>1</v>
      </c>
      <c r="P24" s="1" t="b">
        <f>FALSE</f>
        <v>0</v>
      </c>
      <c r="Q24" s="2" t="b">
        <f t="shared" si="13"/>
        <v>1</v>
      </c>
      <c r="R24" s="1" t="b">
        <f>TRUE</f>
        <v>1</v>
      </c>
      <c r="S24" s="2" t="b">
        <f t="shared" si="10"/>
        <v>0</v>
      </c>
      <c r="T24" s="2" t="b">
        <f t="shared" si="14"/>
        <v>0</v>
      </c>
      <c r="U24" s="1" t="b">
        <f>TRUE</f>
        <v>1</v>
      </c>
    </row>
    <row r="25" spans="1:22" x14ac:dyDescent="0.3">
      <c r="B25" s="1" t="b">
        <f>FALSE</f>
        <v>0</v>
      </c>
      <c r="C25" s="2" t="b">
        <f t="shared" si="6"/>
        <v>1</v>
      </c>
      <c r="D25" s="1" t="b">
        <f>TRUE</f>
        <v>1</v>
      </c>
      <c r="E25" s="2" t="b">
        <f t="shared" si="7"/>
        <v>0</v>
      </c>
      <c r="F25" s="2" t="b">
        <f t="shared" si="11"/>
        <v>0</v>
      </c>
      <c r="G25" s="1" t="b">
        <f>FALSE</f>
        <v>0</v>
      </c>
      <c r="I25" s="1" t="b">
        <f>FALSE</f>
        <v>0</v>
      </c>
      <c r="J25" s="2" t="b">
        <f t="shared" si="12"/>
        <v>1</v>
      </c>
      <c r="K25" s="1" t="b">
        <f>TRUE</f>
        <v>1</v>
      </c>
      <c r="L25" s="2" t="b">
        <f t="shared" si="8"/>
        <v>0</v>
      </c>
      <c r="M25" s="2" t="b">
        <f t="shared" si="9"/>
        <v>0</v>
      </c>
      <c r="N25" s="1" t="b">
        <f>FALSE</f>
        <v>0</v>
      </c>
      <c r="P25" s="1" t="b">
        <f>FALSE</f>
        <v>0</v>
      </c>
      <c r="Q25" s="2" t="b">
        <f t="shared" si="13"/>
        <v>1</v>
      </c>
      <c r="R25" s="1" t="b">
        <f>TRUE</f>
        <v>1</v>
      </c>
      <c r="S25" s="2" t="b">
        <f t="shared" si="10"/>
        <v>0</v>
      </c>
      <c r="T25" s="2" t="b">
        <f t="shared" si="14"/>
        <v>0</v>
      </c>
      <c r="U25" s="1" t="b">
        <f>FALSE</f>
        <v>0</v>
      </c>
    </row>
    <row r="26" spans="1:22" x14ac:dyDescent="0.3">
      <c r="B26" s="1" t="b">
        <f>FALSE</f>
        <v>0</v>
      </c>
      <c r="C26" s="2" t="b">
        <f t="shared" si="6"/>
        <v>1</v>
      </c>
      <c r="D26" s="1" t="b">
        <f>FALSE</f>
        <v>0</v>
      </c>
      <c r="E26" s="2" t="b">
        <f t="shared" si="7"/>
        <v>1</v>
      </c>
      <c r="F26" s="2" t="b">
        <f t="shared" si="11"/>
        <v>1</v>
      </c>
      <c r="G26" s="1" t="b">
        <f>TRUE</f>
        <v>1</v>
      </c>
      <c r="I26" s="1" t="b">
        <f>FALSE</f>
        <v>0</v>
      </c>
      <c r="J26" s="2" t="b">
        <f t="shared" si="12"/>
        <v>1</v>
      </c>
      <c r="K26" s="1" t="b">
        <f>FALSE</f>
        <v>0</v>
      </c>
      <c r="L26" s="2" t="b">
        <f t="shared" si="8"/>
        <v>1</v>
      </c>
      <c r="M26" s="2" t="b">
        <f t="shared" si="9"/>
        <v>1</v>
      </c>
      <c r="N26" s="1" t="b">
        <f>TRUE</f>
        <v>1</v>
      </c>
      <c r="P26" s="1" t="b">
        <f>FALSE</f>
        <v>0</v>
      </c>
      <c r="Q26" s="2" t="b">
        <f t="shared" si="13"/>
        <v>1</v>
      </c>
      <c r="R26" s="1" t="b">
        <f>FALSE</f>
        <v>0</v>
      </c>
      <c r="S26" s="2" t="b">
        <f t="shared" si="10"/>
        <v>1</v>
      </c>
      <c r="T26" s="2" t="b">
        <f t="shared" si="14"/>
        <v>1</v>
      </c>
      <c r="U26" s="1" t="b">
        <f>TRUE</f>
        <v>1</v>
      </c>
    </row>
    <row r="27" spans="1:22" x14ac:dyDescent="0.3">
      <c r="B27" s="1" t="b">
        <f>FALSE</f>
        <v>0</v>
      </c>
      <c r="C27" s="2" t="b">
        <f t="shared" si="6"/>
        <v>1</v>
      </c>
      <c r="D27" s="1" t="b">
        <f>FALSE</f>
        <v>0</v>
      </c>
      <c r="E27" s="2" t="b">
        <f t="shared" si="7"/>
        <v>1</v>
      </c>
      <c r="F27" s="2" t="b">
        <f t="shared" si="11"/>
        <v>0</v>
      </c>
      <c r="G27" s="1" t="b">
        <f>FALSE</f>
        <v>0</v>
      </c>
      <c r="I27" s="1" t="b">
        <f>FALSE</f>
        <v>0</v>
      </c>
      <c r="J27" s="2" t="b">
        <f t="shared" si="12"/>
        <v>1</v>
      </c>
      <c r="K27" s="1" t="b">
        <f>FALSE</f>
        <v>0</v>
      </c>
      <c r="L27" s="2" t="b">
        <f t="shared" si="8"/>
        <v>1</v>
      </c>
      <c r="M27" s="2" t="b">
        <f t="shared" si="9"/>
        <v>0</v>
      </c>
      <c r="N27" s="1" t="b">
        <f>FALSE</f>
        <v>0</v>
      </c>
      <c r="P27" s="1" t="b">
        <f>FALSE</f>
        <v>0</v>
      </c>
      <c r="Q27" s="2" t="b">
        <f t="shared" si="13"/>
        <v>1</v>
      </c>
      <c r="R27" s="1" t="b">
        <f>FALSE</f>
        <v>0</v>
      </c>
      <c r="S27" s="2" t="b">
        <f t="shared" si="10"/>
        <v>1</v>
      </c>
      <c r="T27" s="2" t="b">
        <f t="shared" ref="T27" si="15">IF(OR(S20=FALSE,U20=FALSE),FALSE,TRUE)</f>
        <v>0</v>
      </c>
      <c r="U27" s="1" t="b">
        <f>FALSE</f>
        <v>0</v>
      </c>
    </row>
    <row r="28" spans="1:22" x14ac:dyDescent="0.3">
      <c r="C28" s="3" t="str">
        <f>IF(COUNTIF(C20:C27,TRUE)=COUNTA(C20:C27),"TAUTOLOGIA",IF(COUNTIF(C20:C27,FALSE)=COUNTA(C20:C27),"CONTRADICCION","REFUTABLE"))</f>
        <v>REFUTABLE</v>
      </c>
      <c r="J28" s="3" t="str">
        <f>IF(COUNTIF(J20:J27,TRUE)=COUNTA(J20:J27),"TAUTOLOGIA",IF(COUNTIF(J20:J27,FALSE)=COUNTA(J20:J27),"CONTRADICCION","REFUTABLE"))</f>
        <v>REFUTABLE</v>
      </c>
      <c r="Q28" s="3" t="str">
        <f>IF(COUNTIF(Q20:Q27,TRUE)=COUNTA(Q20:Q27),"TAUTOLOGIA",IF(COUNTIF(Q20:Q27,FALSE)=COUNTA(Q20:Q27),"CONTRADICCION","REFUTABLE"))</f>
        <v>REFUTABLE</v>
      </c>
    </row>
    <row r="30" spans="1:22" x14ac:dyDescent="0.3">
      <c r="A30" t="s">
        <v>17</v>
      </c>
    </row>
    <row r="31" spans="1:22" x14ac:dyDescent="0.3">
      <c r="A31" t="s">
        <v>18</v>
      </c>
      <c r="F31" s="1" t="s">
        <v>12</v>
      </c>
      <c r="G31" s="2" t="s">
        <v>21</v>
      </c>
      <c r="H31" s="1" t="s">
        <v>8</v>
      </c>
      <c r="I31" s="2" t="s">
        <v>14</v>
      </c>
      <c r="J31" s="1" t="s">
        <v>10</v>
      </c>
      <c r="L31" s="1" t="s">
        <v>8</v>
      </c>
      <c r="M31" s="2" t="s">
        <v>21</v>
      </c>
      <c r="N31" s="1" t="s">
        <v>10</v>
      </c>
      <c r="O31" s="2" t="s">
        <v>14</v>
      </c>
      <c r="P31" s="1" t="s">
        <v>12</v>
      </c>
      <c r="R31" s="1" t="s">
        <v>12</v>
      </c>
      <c r="S31" s="2" t="s">
        <v>21</v>
      </c>
      <c r="T31" s="1" t="s">
        <v>8</v>
      </c>
      <c r="U31" s="2" t="s">
        <v>14</v>
      </c>
      <c r="V31" s="1" t="s">
        <v>10</v>
      </c>
    </row>
    <row r="32" spans="1:22" x14ac:dyDescent="0.3">
      <c r="A32" t="s">
        <v>19</v>
      </c>
      <c r="F32" s="1" t="b">
        <f>TRUE</f>
        <v>1</v>
      </c>
      <c r="G32" s="2" t="b">
        <f>IF(F32,I32,TRUE)</f>
        <v>1</v>
      </c>
      <c r="H32" s="1" t="b">
        <f>TRUE</f>
        <v>1</v>
      </c>
      <c r="I32" s="2" t="b">
        <f>IF(H32,J32,FALSE)</f>
        <v>1</v>
      </c>
      <c r="J32" s="1" t="b">
        <f>TRUE</f>
        <v>1</v>
      </c>
      <c r="L32" s="1" t="b">
        <f>TRUE</f>
        <v>1</v>
      </c>
      <c r="M32" s="2" t="b">
        <f>IF(L32,O32,TRUE)</f>
        <v>1</v>
      </c>
      <c r="N32" s="1" t="b">
        <f>TRUE</f>
        <v>1</v>
      </c>
      <c r="O32" s="2" t="b">
        <f t="shared" ref="O32:O39" si="16">IF(N32=FALSE,FALSE,P32)</f>
        <v>1</v>
      </c>
      <c r="P32" s="1" t="b">
        <f>TRUE</f>
        <v>1</v>
      </c>
      <c r="R32" s="1" t="b">
        <f>TRUE</f>
        <v>1</v>
      </c>
      <c r="S32" s="2" t="b">
        <f>IF(AND(R32,U32=FALSE),FALSE,TRUE)</f>
        <v>1</v>
      </c>
      <c r="T32" s="1" t="b">
        <f>TRUE</f>
        <v>1</v>
      </c>
      <c r="U32" s="2" t="b">
        <f>IF(OR(T32=FALSE,V32=FALSE),FALSE,TRUE)</f>
        <v>1</v>
      </c>
      <c r="V32" s="1" t="b">
        <f>TRUE</f>
        <v>1</v>
      </c>
    </row>
    <row r="33" spans="1:27" x14ac:dyDescent="0.3">
      <c r="A33" t="s">
        <v>20</v>
      </c>
      <c r="F33" s="1" t="b">
        <f>TRUE</f>
        <v>1</v>
      </c>
      <c r="G33" s="2" t="b">
        <f t="shared" ref="G33:G39" si="17">IF(F33,I33,TRUE)</f>
        <v>0</v>
      </c>
      <c r="H33" s="1" t="b">
        <f>TRUE</f>
        <v>1</v>
      </c>
      <c r="I33" s="2" t="b">
        <f t="shared" ref="I33:I39" si="18">IF(H33,J33,FALSE)</f>
        <v>0</v>
      </c>
      <c r="J33" s="1" t="b">
        <f>FALSE</f>
        <v>0</v>
      </c>
      <c r="L33" s="1" t="b">
        <f>TRUE</f>
        <v>1</v>
      </c>
      <c r="M33" s="2" t="b">
        <f t="shared" ref="M33:M39" si="19">IF(L33,O33,TRUE)</f>
        <v>0</v>
      </c>
      <c r="N33" s="1" t="b">
        <f>TRUE</f>
        <v>1</v>
      </c>
      <c r="O33" s="2" t="b">
        <f t="shared" si="16"/>
        <v>0</v>
      </c>
      <c r="P33" s="1" t="b">
        <f>FALSE</f>
        <v>0</v>
      </c>
      <c r="R33" s="1" t="b">
        <f>TRUE</f>
        <v>1</v>
      </c>
      <c r="S33" s="2" t="b">
        <f t="shared" ref="S33:S39" si="20">IF(AND(R33,U33=FALSE),FALSE,TRUE)</f>
        <v>0</v>
      </c>
      <c r="T33" s="1" t="b">
        <f>TRUE</f>
        <v>1</v>
      </c>
      <c r="U33" s="2" t="b">
        <f t="shared" ref="U33:U39" si="21">IF(OR(T33=FALSE,V33=FALSE),FALSE,TRUE)</f>
        <v>0</v>
      </c>
      <c r="V33" s="1" t="b">
        <f>FALSE</f>
        <v>0</v>
      </c>
    </row>
    <row r="34" spans="1:27" x14ac:dyDescent="0.3">
      <c r="A34" t="s">
        <v>68</v>
      </c>
      <c r="F34" s="1" t="b">
        <f>TRUE</f>
        <v>1</v>
      </c>
      <c r="G34" s="2" t="b">
        <f t="shared" si="17"/>
        <v>0</v>
      </c>
      <c r="H34" s="1" t="b">
        <f>FALSE</f>
        <v>0</v>
      </c>
      <c r="I34" s="2" t="b">
        <f t="shared" si="18"/>
        <v>0</v>
      </c>
      <c r="J34" s="1" t="b">
        <f>TRUE</f>
        <v>1</v>
      </c>
      <c r="L34" s="1" t="b">
        <f>TRUE</f>
        <v>1</v>
      </c>
      <c r="M34" s="2" t="b">
        <f t="shared" si="19"/>
        <v>0</v>
      </c>
      <c r="N34" s="1" t="b">
        <f>FALSE</f>
        <v>0</v>
      </c>
      <c r="O34" s="2" t="b">
        <f t="shared" si="16"/>
        <v>0</v>
      </c>
      <c r="P34" s="1" t="b">
        <f>TRUE</f>
        <v>1</v>
      </c>
      <c r="R34" s="1" t="b">
        <f>TRUE</f>
        <v>1</v>
      </c>
      <c r="S34" s="2" t="b">
        <f t="shared" si="20"/>
        <v>0</v>
      </c>
      <c r="T34" s="1" t="b">
        <f>FALSE</f>
        <v>0</v>
      </c>
      <c r="U34" s="2" t="b">
        <f t="shared" si="21"/>
        <v>0</v>
      </c>
      <c r="V34" s="1" t="b">
        <f>TRUE</f>
        <v>1</v>
      </c>
    </row>
    <row r="35" spans="1:27" x14ac:dyDescent="0.3">
      <c r="F35" s="1" t="b">
        <f>TRUE</f>
        <v>1</v>
      </c>
      <c r="G35" s="2" t="b">
        <f t="shared" si="17"/>
        <v>0</v>
      </c>
      <c r="H35" s="1" t="b">
        <f>FALSE</f>
        <v>0</v>
      </c>
      <c r="I35" s="2" t="b">
        <f t="shared" si="18"/>
        <v>0</v>
      </c>
      <c r="J35" s="1" t="b">
        <f>FALSE</f>
        <v>0</v>
      </c>
      <c r="L35" s="1" t="b">
        <f>TRUE</f>
        <v>1</v>
      </c>
      <c r="M35" s="2" t="b">
        <f t="shared" si="19"/>
        <v>0</v>
      </c>
      <c r="N35" s="1" t="b">
        <f>FALSE</f>
        <v>0</v>
      </c>
      <c r="O35" s="2" t="b">
        <f t="shared" si="16"/>
        <v>0</v>
      </c>
      <c r="P35" s="1" t="b">
        <f>FALSE</f>
        <v>0</v>
      </c>
      <c r="R35" s="1" t="b">
        <f>TRUE</f>
        <v>1</v>
      </c>
      <c r="S35" s="2" t="b">
        <f t="shared" si="20"/>
        <v>0</v>
      </c>
      <c r="T35" s="1" t="b">
        <f>FALSE</f>
        <v>0</v>
      </c>
      <c r="U35" s="2" t="b">
        <f t="shared" si="21"/>
        <v>0</v>
      </c>
      <c r="V35" s="1" t="b">
        <f>FALSE</f>
        <v>0</v>
      </c>
    </row>
    <row r="36" spans="1:27" x14ac:dyDescent="0.3">
      <c r="F36" s="1" t="b">
        <f>FALSE</f>
        <v>0</v>
      </c>
      <c r="G36" s="2" t="b">
        <f t="shared" si="17"/>
        <v>1</v>
      </c>
      <c r="H36" s="1" t="b">
        <f>TRUE</f>
        <v>1</v>
      </c>
      <c r="I36" s="2" t="b">
        <f t="shared" si="18"/>
        <v>1</v>
      </c>
      <c r="J36" s="1" t="b">
        <f>TRUE</f>
        <v>1</v>
      </c>
      <c r="L36" s="1" t="b">
        <f>FALSE</f>
        <v>0</v>
      </c>
      <c r="M36" s="2" t="b">
        <f t="shared" si="19"/>
        <v>1</v>
      </c>
      <c r="N36" s="1" t="b">
        <f>TRUE</f>
        <v>1</v>
      </c>
      <c r="O36" s="2" t="b">
        <f t="shared" si="16"/>
        <v>1</v>
      </c>
      <c r="P36" s="1" t="b">
        <f>TRUE</f>
        <v>1</v>
      </c>
      <c r="R36" s="1" t="b">
        <f>FALSE</f>
        <v>0</v>
      </c>
      <c r="S36" s="2" t="b">
        <f t="shared" si="20"/>
        <v>1</v>
      </c>
      <c r="T36" s="1" t="b">
        <f>TRUE</f>
        <v>1</v>
      </c>
      <c r="U36" s="2" t="b">
        <f t="shared" si="21"/>
        <v>1</v>
      </c>
      <c r="V36" s="1" t="b">
        <f>TRUE</f>
        <v>1</v>
      </c>
    </row>
    <row r="37" spans="1:27" x14ac:dyDescent="0.3">
      <c r="F37" s="1" t="b">
        <f>FALSE</f>
        <v>0</v>
      </c>
      <c r="G37" s="2" t="b">
        <f t="shared" si="17"/>
        <v>1</v>
      </c>
      <c r="H37" s="1" t="b">
        <f>TRUE</f>
        <v>1</v>
      </c>
      <c r="I37" s="2" t="b">
        <f t="shared" si="18"/>
        <v>0</v>
      </c>
      <c r="J37" s="1" t="b">
        <f>FALSE</f>
        <v>0</v>
      </c>
      <c r="L37" s="1" t="b">
        <f>FALSE</f>
        <v>0</v>
      </c>
      <c r="M37" s="2" t="b">
        <f t="shared" si="19"/>
        <v>1</v>
      </c>
      <c r="N37" s="1" t="b">
        <f>TRUE</f>
        <v>1</v>
      </c>
      <c r="O37" s="2" t="b">
        <f t="shared" si="16"/>
        <v>0</v>
      </c>
      <c r="P37" s="1" t="b">
        <f>FALSE</f>
        <v>0</v>
      </c>
      <c r="R37" s="1" t="b">
        <f>FALSE</f>
        <v>0</v>
      </c>
      <c r="S37" s="2" t="b">
        <f t="shared" si="20"/>
        <v>1</v>
      </c>
      <c r="T37" s="1" t="b">
        <f>TRUE</f>
        <v>1</v>
      </c>
      <c r="U37" s="2" t="b">
        <f t="shared" si="21"/>
        <v>0</v>
      </c>
      <c r="V37" s="1" t="b">
        <f>FALSE</f>
        <v>0</v>
      </c>
    </row>
    <row r="38" spans="1:27" x14ac:dyDescent="0.3">
      <c r="F38" s="1" t="b">
        <f>FALSE</f>
        <v>0</v>
      </c>
      <c r="G38" s="2" t="b">
        <f t="shared" si="17"/>
        <v>1</v>
      </c>
      <c r="H38" s="1" t="b">
        <f>FALSE</f>
        <v>0</v>
      </c>
      <c r="I38" s="2" t="b">
        <f t="shared" si="18"/>
        <v>0</v>
      </c>
      <c r="J38" s="8" t="b">
        <f>TRUE</f>
        <v>1</v>
      </c>
      <c r="L38" s="1" t="b">
        <f>FALSE</f>
        <v>0</v>
      </c>
      <c r="M38" s="2" t="b">
        <f t="shared" si="19"/>
        <v>1</v>
      </c>
      <c r="N38" s="1" t="b">
        <f>FALSE</f>
        <v>0</v>
      </c>
      <c r="O38" s="2" t="b">
        <f t="shared" si="16"/>
        <v>0</v>
      </c>
      <c r="P38" s="8" t="b">
        <f>TRUE</f>
        <v>1</v>
      </c>
      <c r="R38" s="1" t="b">
        <f>FALSE</f>
        <v>0</v>
      </c>
      <c r="S38" s="2" t="b">
        <f t="shared" si="20"/>
        <v>1</v>
      </c>
      <c r="T38" s="1" t="b">
        <f>FALSE</f>
        <v>0</v>
      </c>
      <c r="U38" s="2" t="b">
        <f t="shared" si="21"/>
        <v>0</v>
      </c>
      <c r="V38" s="8" t="b">
        <f>TRUE</f>
        <v>1</v>
      </c>
    </row>
    <row r="39" spans="1:27" x14ac:dyDescent="0.3">
      <c r="F39" s="1" t="b">
        <f>FALSE</f>
        <v>0</v>
      </c>
      <c r="G39" s="2" t="b">
        <f t="shared" si="17"/>
        <v>1</v>
      </c>
      <c r="H39" s="1" t="b">
        <f>FALSE</f>
        <v>0</v>
      </c>
      <c r="I39" s="2" t="b">
        <f t="shared" si="18"/>
        <v>0</v>
      </c>
      <c r="J39" s="5" t="b">
        <f>FALSE</f>
        <v>0</v>
      </c>
      <c r="L39" s="1" t="b">
        <f>FALSE</f>
        <v>0</v>
      </c>
      <c r="M39" s="2" t="b">
        <f t="shared" si="19"/>
        <v>1</v>
      </c>
      <c r="N39" s="1" t="b">
        <f>FALSE</f>
        <v>0</v>
      </c>
      <c r="O39" s="2" t="b">
        <f t="shared" si="16"/>
        <v>0</v>
      </c>
      <c r="P39" s="5" t="b">
        <f>FALSE</f>
        <v>0</v>
      </c>
      <c r="R39" s="1" t="b">
        <f>FALSE</f>
        <v>0</v>
      </c>
      <c r="S39" s="2" t="b">
        <f t="shared" si="20"/>
        <v>1</v>
      </c>
      <c r="T39" s="1" t="b">
        <f>FALSE</f>
        <v>0</v>
      </c>
      <c r="U39" s="2" t="b">
        <f t="shared" si="21"/>
        <v>0</v>
      </c>
      <c r="V39" s="5" t="b">
        <f>FALSE</f>
        <v>0</v>
      </c>
    </row>
    <row r="40" spans="1:27" x14ac:dyDescent="0.3">
      <c r="G40" s="3" t="str">
        <f>IF(COUNTIF(G32:G39,TRUE)=COUNTA(G32:G39),"TAUTOLOGIA",IF(COUNTIF(G32:G39,FALSE)=COUNTA(G32:G39),"CONTRADICCION","REFUTABLE"))</f>
        <v>REFUTABLE</v>
      </c>
      <c r="M40" s="3" t="str">
        <f>IF(COUNTIF(M32:M39,TRUE)=COUNTA(M32:M39),"TAUTOLOGIA",IF(COUNTIF(M32:M39,FALSE)=COUNTA(M32:M39),"CONTRADICCION","REFUTABLE"))</f>
        <v>REFUTABLE</v>
      </c>
      <c r="S40" s="3" t="str">
        <f>IF(COUNTIF(S32:S39,TRUE)=COUNTA(S32:S39),"TAUTOLOGIA",IF(COUNTIF(S32:S39,FALSE)=COUNTA(S32:S39),"CONTRADICCION","REFUTABLE"))</f>
        <v>REFUTABLE</v>
      </c>
    </row>
    <row r="42" spans="1:27" x14ac:dyDescent="0.3">
      <c r="A42" t="s">
        <v>22</v>
      </c>
    </row>
    <row r="43" spans="1:27" x14ac:dyDescent="0.3">
      <c r="A43" t="s">
        <v>23</v>
      </c>
      <c r="E43" s="1" t="s">
        <v>8</v>
      </c>
      <c r="F43" s="2" t="s">
        <v>27</v>
      </c>
      <c r="G43" s="2" t="s">
        <v>15</v>
      </c>
      <c r="H43" s="1" t="s">
        <v>66</v>
      </c>
      <c r="I43" s="2" t="s">
        <v>14</v>
      </c>
      <c r="J43" s="1" t="s">
        <v>12</v>
      </c>
      <c r="K43" s="2" t="s">
        <v>67</v>
      </c>
      <c r="M43" s="1" t="s">
        <v>8</v>
      </c>
      <c r="N43" s="2" t="s">
        <v>27</v>
      </c>
      <c r="O43" s="2" t="s">
        <v>15</v>
      </c>
      <c r="P43" s="1" t="s">
        <v>10</v>
      </c>
      <c r="Q43" s="2" t="s">
        <v>14</v>
      </c>
      <c r="R43" s="1" t="s">
        <v>12</v>
      </c>
      <c r="S43" s="2" t="s">
        <v>28</v>
      </c>
      <c r="U43" s="1" t="s">
        <v>8</v>
      </c>
      <c r="V43" s="2" t="s">
        <v>27</v>
      </c>
      <c r="W43" s="2" t="s">
        <v>15</v>
      </c>
      <c r="X43" s="1" t="s">
        <v>10</v>
      </c>
      <c r="Y43" s="2" t="s">
        <v>14</v>
      </c>
      <c r="Z43" s="1" t="s">
        <v>12</v>
      </c>
      <c r="AA43" s="2" t="s">
        <v>28</v>
      </c>
    </row>
    <row r="44" spans="1:27" x14ac:dyDescent="0.3">
      <c r="A44" t="s">
        <v>24</v>
      </c>
      <c r="E44" s="1" t="b">
        <f>TRUE</f>
        <v>1</v>
      </c>
      <c r="F44" s="2" t="b">
        <f>IF(E44,FALSE,TRUE)</f>
        <v>0</v>
      </c>
      <c r="G44" s="2" t="b">
        <f>IF(F44,I44,TRUE)</f>
        <v>1</v>
      </c>
      <c r="H44" s="1" t="b">
        <f>TRUE</f>
        <v>1</v>
      </c>
      <c r="I44" s="2" t="b">
        <f>IF(H44,J44,FALSE)</f>
        <v>1</v>
      </c>
      <c r="J44" s="1" t="b">
        <f>TRUE</f>
        <v>1</v>
      </c>
      <c r="K44" s="2" t="b">
        <f>IF(J44,FALSE,TRUE)</f>
        <v>0</v>
      </c>
      <c r="L44" s="9"/>
      <c r="M44" s="1" t="b">
        <f>TRUE</f>
        <v>1</v>
      </c>
      <c r="N44" s="2" t="b">
        <f>IF(M44,FALSE,TRUE)</f>
        <v>0</v>
      </c>
      <c r="O44" s="2" t="b">
        <f>IF(N44=FALSE,TRUE,Q44)</f>
        <v>1</v>
      </c>
      <c r="P44" s="1" t="b">
        <f>TRUE</f>
        <v>1</v>
      </c>
      <c r="Q44" s="2" t="b">
        <f>IF(P44=FALSE,FALSE,R44)</f>
        <v>1</v>
      </c>
      <c r="R44" s="1" t="b">
        <f>TRUE</f>
        <v>1</v>
      </c>
      <c r="S44" s="2" t="b">
        <f>IF(R44=FALSE,TRUE,FALSE)</f>
        <v>0</v>
      </c>
      <c r="U44" s="1" t="b">
        <f>TRUE</f>
        <v>1</v>
      </c>
      <c r="V44" s="2" t="b">
        <f>IF(U44,FALSE,TRUE)</f>
        <v>0</v>
      </c>
      <c r="W44" s="2" t="b">
        <f>IF(AND(V44,Y44=FALSE),FALSE,TRUE)</f>
        <v>1</v>
      </c>
      <c r="X44" s="1" t="b">
        <f>TRUE</f>
        <v>1</v>
      </c>
      <c r="Y44" s="2" t="b">
        <f>IF(OR(X44=FALSE,Z44=FALSE),FALSE,TRUE)</f>
        <v>1</v>
      </c>
      <c r="Z44" s="1" t="b">
        <f>TRUE</f>
        <v>1</v>
      </c>
      <c r="AA44" s="2" t="b">
        <f>IF(NOT(Z44),TRUE,FALSE)</f>
        <v>0</v>
      </c>
    </row>
    <row r="45" spans="1:27" x14ac:dyDescent="0.3">
      <c r="A45" t="s">
        <v>25</v>
      </c>
      <c r="E45" s="1" t="b">
        <f>TRUE</f>
        <v>1</v>
      </c>
      <c r="F45" s="2" t="b">
        <f t="shared" ref="F45:F51" si="22">IF(E45,FALSE,TRUE)</f>
        <v>0</v>
      </c>
      <c r="G45" s="2" t="b">
        <f t="shared" ref="G45:G51" si="23">IF(F45,I45,TRUE)</f>
        <v>1</v>
      </c>
      <c r="H45" s="1" t="b">
        <f>TRUE</f>
        <v>1</v>
      </c>
      <c r="I45" s="2" t="b">
        <f t="shared" ref="I45:I51" si="24">IF(H45,J45,FALSE)</f>
        <v>0</v>
      </c>
      <c r="J45" s="1" t="b">
        <f>FALSE</f>
        <v>0</v>
      </c>
      <c r="K45" s="2" t="b">
        <f t="shared" ref="K45:K51" si="25">IF(J45,FALSE,TRUE)</f>
        <v>1</v>
      </c>
      <c r="M45" s="1" t="b">
        <f>TRUE</f>
        <v>1</v>
      </c>
      <c r="N45" s="2" t="b">
        <f t="shared" ref="N45:N51" si="26">IF(M45,FALSE,TRUE)</f>
        <v>0</v>
      </c>
      <c r="O45" s="2" t="b">
        <f t="shared" ref="O45:O51" si="27">IF(N45=FALSE,TRUE,Q45)</f>
        <v>1</v>
      </c>
      <c r="P45" s="1" t="b">
        <f>TRUE</f>
        <v>1</v>
      </c>
      <c r="Q45" s="2" t="b">
        <f t="shared" ref="Q45:Q51" si="28">IF(P45=FALSE,FALSE,R45)</f>
        <v>0</v>
      </c>
      <c r="R45" s="1" t="b">
        <f>FALSE</f>
        <v>0</v>
      </c>
      <c r="S45" s="2" t="b">
        <f t="shared" ref="S45:S51" si="29">IF(R45=FALSE,TRUE,FALSE)</f>
        <v>1</v>
      </c>
      <c r="U45" s="1" t="b">
        <f>TRUE</f>
        <v>1</v>
      </c>
      <c r="V45" s="2" t="b">
        <f t="shared" ref="V45:V51" si="30">IF(U45,FALSE,TRUE)</f>
        <v>0</v>
      </c>
      <c r="W45" s="2" t="b">
        <f t="shared" ref="W45:W51" si="31">IF(AND(V45,Y45=FALSE),FALSE,TRUE)</f>
        <v>1</v>
      </c>
      <c r="X45" s="1" t="b">
        <f>TRUE</f>
        <v>1</v>
      </c>
      <c r="Y45" s="2" t="b">
        <f t="shared" ref="Y45:Y51" si="32">IF(OR(X45=FALSE,Z45=FALSE),FALSE,TRUE)</f>
        <v>0</v>
      </c>
      <c r="Z45" s="1" t="b">
        <f>FALSE</f>
        <v>0</v>
      </c>
      <c r="AA45" s="2" t="b">
        <f t="shared" ref="AA45:AA51" si="33">IF(NOT(Z45),TRUE,FALSE)</f>
        <v>1</v>
      </c>
    </row>
    <row r="46" spans="1:27" x14ac:dyDescent="0.3">
      <c r="A46" t="s">
        <v>26</v>
      </c>
      <c r="E46" s="1" t="b">
        <f>TRUE</f>
        <v>1</v>
      </c>
      <c r="F46" s="2" t="b">
        <f t="shared" si="22"/>
        <v>0</v>
      </c>
      <c r="G46" s="2" t="b">
        <f t="shared" si="23"/>
        <v>1</v>
      </c>
      <c r="H46" s="1" t="b">
        <f>FALSE</f>
        <v>0</v>
      </c>
      <c r="I46" s="2" t="b">
        <f t="shared" si="24"/>
        <v>0</v>
      </c>
      <c r="J46" s="1" t="b">
        <f>TRUE</f>
        <v>1</v>
      </c>
      <c r="K46" s="2" t="b">
        <f t="shared" si="25"/>
        <v>0</v>
      </c>
      <c r="M46" s="1" t="b">
        <f>TRUE</f>
        <v>1</v>
      </c>
      <c r="N46" s="2" t="b">
        <f t="shared" si="26"/>
        <v>0</v>
      </c>
      <c r="O46" s="2" t="b">
        <f t="shared" si="27"/>
        <v>1</v>
      </c>
      <c r="P46" s="1" t="b">
        <f>FALSE</f>
        <v>0</v>
      </c>
      <c r="Q46" s="2" t="b">
        <f t="shared" si="28"/>
        <v>0</v>
      </c>
      <c r="R46" s="1" t="b">
        <f>TRUE</f>
        <v>1</v>
      </c>
      <c r="S46" s="2" t="b">
        <f t="shared" si="29"/>
        <v>0</v>
      </c>
      <c r="U46" s="1" t="b">
        <f>TRUE</f>
        <v>1</v>
      </c>
      <c r="V46" s="2" t="b">
        <f t="shared" si="30"/>
        <v>0</v>
      </c>
      <c r="W46" s="2" t="b">
        <f t="shared" si="31"/>
        <v>1</v>
      </c>
      <c r="X46" s="1" t="b">
        <f>FALSE</f>
        <v>0</v>
      </c>
      <c r="Y46" s="2" t="b">
        <f t="shared" si="32"/>
        <v>0</v>
      </c>
      <c r="Z46" s="1" t="b">
        <f>TRUE</f>
        <v>1</v>
      </c>
      <c r="AA46" s="2" t="b">
        <f t="shared" si="33"/>
        <v>0</v>
      </c>
    </row>
    <row r="47" spans="1:27" x14ac:dyDescent="0.3">
      <c r="A47" t="s">
        <v>34</v>
      </c>
      <c r="E47" s="1" t="b">
        <f>TRUE</f>
        <v>1</v>
      </c>
      <c r="F47" s="2" t="b">
        <f t="shared" si="22"/>
        <v>0</v>
      </c>
      <c r="G47" s="2" t="b">
        <f t="shared" si="23"/>
        <v>1</v>
      </c>
      <c r="H47" s="1" t="b">
        <f>FALSE</f>
        <v>0</v>
      </c>
      <c r="I47" s="2" t="b">
        <f t="shared" si="24"/>
        <v>0</v>
      </c>
      <c r="J47" s="1" t="b">
        <f>FALSE</f>
        <v>0</v>
      </c>
      <c r="K47" s="2" t="b">
        <f t="shared" si="25"/>
        <v>1</v>
      </c>
      <c r="M47" s="1" t="b">
        <f>TRUE</f>
        <v>1</v>
      </c>
      <c r="N47" s="2" t="b">
        <f t="shared" si="26"/>
        <v>0</v>
      </c>
      <c r="O47" s="2" t="b">
        <f t="shared" si="27"/>
        <v>1</v>
      </c>
      <c r="P47" s="1" t="b">
        <f>FALSE</f>
        <v>0</v>
      </c>
      <c r="Q47" s="2" t="b">
        <f t="shared" si="28"/>
        <v>0</v>
      </c>
      <c r="R47" s="1" t="b">
        <f>FALSE</f>
        <v>0</v>
      </c>
      <c r="S47" s="2" t="b">
        <f t="shared" si="29"/>
        <v>1</v>
      </c>
      <c r="U47" s="1" t="b">
        <f>TRUE</f>
        <v>1</v>
      </c>
      <c r="V47" s="2" t="b">
        <f t="shared" si="30"/>
        <v>0</v>
      </c>
      <c r="W47" s="2" t="b">
        <f t="shared" si="31"/>
        <v>1</v>
      </c>
      <c r="X47" s="1" t="b">
        <f>FALSE</f>
        <v>0</v>
      </c>
      <c r="Y47" s="2" t="b">
        <f t="shared" si="32"/>
        <v>0</v>
      </c>
      <c r="Z47" s="1" t="b">
        <f>FALSE</f>
        <v>0</v>
      </c>
      <c r="AA47" s="2" t="b">
        <f t="shared" si="33"/>
        <v>1</v>
      </c>
    </row>
    <row r="48" spans="1:27" x14ac:dyDescent="0.3">
      <c r="E48" s="1" t="b">
        <f>FALSE</f>
        <v>0</v>
      </c>
      <c r="F48" s="2" t="b">
        <f t="shared" si="22"/>
        <v>1</v>
      </c>
      <c r="G48" s="2" t="b">
        <f t="shared" si="23"/>
        <v>1</v>
      </c>
      <c r="H48" s="1" t="b">
        <f>TRUE</f>
        <v>1</v>
      </c>
      <c r="I48" s="2" t="b">
        <f t="shared" si="24"/>
        <v>1</v>
      </c>
      <c r="J48" s="1" t="b">
        <f>TRUE</f>
        <v>1</v>
      </c>
      <c r="K48" s="2" t="b">
        <f t="shared" si="25"/>
        <v>0</v>
      </c>
      <c r="M48" s="1" t="b">
        <f>FALSE</f>
        <v>0</v>
      </c>
      <c r="N48" s="2" t="b">
        <f t="shared" si="26"/>
        <v>1</v>
      </c>
      <c r="O48" s="2" t="b">
        <f t="shared" si="27"/>
        <v>1</v>
      </c>
      <c r="P48" s="1" t="b">
        <f>TRUE</f>
        <v>1</v>
      </c>
      <c r="Q48" s="2" t="b">
        <f t="shared" si="28"/>
        <v>1</v>
      </c>
      <c r="R48" s="1" t="b">
        <f>TRUE</f>
        <v>1</v>
      </c>
      <c r="S48" s="2" t="b">
        <f t="shared" si="29"/>
        <v>0</v>
      </c>
      <c r="U48" s="1" t="b">
        <f>FALSE</f>
        <v>0</v>
      </c>
      <c r="V48" s="2" t="b">
        <f t="shared" si="30"/>
        <v>1</v>
      </c>
      <c r="W48" s="2" t="b">
        <f t="shared" si="31"/>
        <v>1</v>
      </c>
      <c r="X48" s="1" t="b">
        <f>TRUE</f>
        <v>1</v>
      </c>
      <c r="Y48" s="2" t="b">
        <f t="shared" si="32"/>
        <v>1</v>
      </c>
      <c r="Z48" s="1" t="b">
        <f>TRUE</f>
        <v>1</v>
      </c>
      <c r="AA48" s="2" t="b">
        <f t="shared" si="33"/>
        <v>0</v>
      </c>
    </row>
    <row r="49" spans="1:27" x14ac:dyDescent="0.3">
      <c r="E49" s="1" t="b">
        <f>FALSE</f>
        <v>0</v>
      </c>
      <c r="F49" s="2" t="b">
        <f t="shared" si="22"/>
        <v>1</v>
      </c>
      <c r="G49" s="2" t="b">
        <f t="shared" si="23"/>
        <v>0</v>
      </c>
      <c r="H49" s="1" t="b">
        <f>TRUE</f>
        <v>1</v>
      </c>
      <c r="I49" s="2" t="b">
        <f t="shared" si="24"/>
        <v>0</v>
      </c>
      <c r="J49" s="1" t="b">
        <f>FALSE</f>
        <v>0</v>
      </c>
      <c r="K49" s="2" t="b">
        <f t="shared" si="25"/>
        <v>1</v>
      </c>
      <c r="M49" s="1" t="b">
        <f>FALSE</f>
        <v>0</v>
      </c>
      <c r="N49" s="2" t="b">
        <f t="shared" si="26"/>
        <v>1</v>
      </c>
      <c r="O49" s="2" t="b">
        <f t="shared" si="27"/>
        <v>0</v>
      </c>
      <c r="P49" s="1" t="b">
        <f>TRUE</f>
        <v>1</v>
      </c>
      <c r="Q49" s="2" t="b">
        <f t="shared" si="28"/>
        <v>0</v>
      </c>
      <c r="R49" s="1" t="b">
        <f>FALSE</f>
        <v>0</v>
      </c>
      <c r="S49" s="2" t="b">
        <f t="shared" si="29"/>
        <v>1</v>
      </c>
      <c r="U49" s="1" t="b">
        <f>FALSE</f>
        <v>0</v>
      </c>
      <c r="V49" s="2" t="b">
        <f t="shared" si="30"/>
        <v>1</v>
      </c>
      <c r="W49" s="2" t="b">
        <f t="shared" si="31"/>
        <v>0</v>
      </c>
      <c r="X49" s="1" t="b">
        <f>TRUE</f>
        <v>1</v>
      </c>
      <c r="Y49" s="2" t="b">
        <f t="shared" si="32"/>
        <v>0</v>
      </c>
      <c r="Z49" s="1" t="b">
        <f>FALSE</f>
        <v>0</v>
      </c>
      <c r="AA49" s="2" t="b">
        <f t="shared" si="33"/>
        <v>1</v>
      </c>
    </row>
    <row r="50" spans="1:27" x14ac:dyDescent="0.3">
      <c r="E50" s="1" t="b">
        <f>FALSE</f>
        <v>0</v>
      </c>
      <c r="F50" s="2" t="b">
        <f t="shared" si="22"/>
        <v>1</v>
      </c>
      <c r="G50" s="2" t="b">
        <f t="shared" si="23"/>
        <v>0</v>
      </c>
      <c r="H50" s="1" t="b">
        <f>FALSE</f>
        <v>0</v>
      </c>
      <c r="I50" s="2" t="b">
        <f t="shared" si="24"/>
        <v>0</v>
      </c>
      <c r="J50" s="1" t="b">
        <f>TRUE</f>
        <v>1</v>
      </c>
      <c r="K50" s="2" t="b">
        <f t="shared" si="25"/>
        <v>0</v>
      </c>
      <c r="M50" s="1" t="b">
        <f>FALSE</f>
        <v>0</v>
      </c>
      <c r="N50" s="2" t="b">
        <f t="shared" si="26"/>
        <v>1</v>
      </c>
      <c r="O50" s="2" t="b">
        <f t="shared" si="27"/>
        <v>0</v>
      </c>
      <c r="P50" s="1" t="b">
        <f>FALSE</f>
        <v>0</v>
      </c>
      <c r="Q50" s="2" t="b">
        <f t="shared" si="28"/>
        <v>0</v>
      </c>
      <c r="R50" s="1" t="b">
        <f>TRUE</f>
        <v>1</v>
      </c>
      <c r="S50" s="2" t="b">
        <f t="shared" si="29"/>
        <v>0</v>
      </c>
      <c r="U50" s="1" t="b">
        <f>FALSE</f>
        <v>0</v>
      </c>
      <c r="V50" s="2" t="b">
        <f t="shared" si="30"/>
        <v>1</v>
      </c>
      <c r="W50" s="2" t="b">
        <f t="shared" si="31"/>
        <v>0</v>
      </c>
      <c r="X50" s="1" t="b">
        <f>FALSE</f>
        <v>0</v>
      </c>
      <c r="Y50" s="2" t="b">
        <f t="shared" si="32"/>
        <v>0</v>
      </c>
      <c r="Z50" s="1" t="b">
        <f>TRUE</f>
        <v>1</v>
      </c>
      <c r="AA50" s="2" t="b">
        <f t="shared" si="33"/>
        <v>0</v>
      </c>
    </row>
    <row r="51" spans="1:27" x14ac:dyDescent="0.3">
      <c r="E51" s="1" t="b">
        <f>FALSE</f>
        <v>0</v>
      </c>
      <c r="F51" s="2" t="b">
        <f t="shared" si="22"/>
        <v>1</v>
      </c>
      <c r="G51" s="2" t="b">
        <f t="shared" si="23"/>
        <v>0</v>
      </c>
      <c r="H51" s="1" t="b">
        <f>FALSE</f>
        <v>0</v>
      </c>
      <c r="I51" s="2" t="b">
        <f t="shared" si="24"/>
        <v>0</v>
      </c>
      <c r="J51" s="1" t="b">
        <f>FALSE</f>
        <v>0</v>
      </c>
      <c r="K51" s="2" t="b">
        <f t="shared" si="25"/>
        <v>1</v>
      </c>
      <c r="M51" s="1" t="b">
        <f>FALSE</f>
        <v>0</v>
      </c>
      <c r="N51" s="2" t="b">
        <f t="shared" si="26"/>
        <v>1</v>
      </c>
      <c r="O51" s="2" t="b">
        <f t="shared" si="27"/>
        <v>0</v>
      </c>
      <c r="P51" s="1" t="b">
        <f>FALSE</f>
        <v>0</v>
      </c>
      <c r="Q51" s="2" t="b">
        <f t="shared" si="28"/>
        <v>0</v>
      </c>
      <c r="R51" s="1" t="b">
        <f>FALSE</f>
        <v>0</v>
      </c>
      <c r="S51" s="2" t="b">
        <f t="shared" si="29"/>
        <v>1</v>
      </c>
      <c r="U51" s="1" t="b">
        <f>FALSE</f>
        <v>0</v>
      </c>
      <c r="V51" s="2" t="b">
        <f t="shared" si="30"/>
        <v>1</v>
      </c>
      <c r="W51" s="2" t="b">
        <f t="shared" si="31"/>
        <v>0</v>
      </c>
      <c r="X51" s="1" t="b">
        <f>FALSE</f>
        <v>0</v>
      </c>
      <c r="Y51" s="2" t="b">
        <f t="shared" si="32"/>
        <v>0</v>
      </c>
      <c r="Z51" s="1" t="b">
        <f>FALSE</f>
        <v>0</v>
      </c>
      <c r="AA51" s="2" t="b">
        <f t="shared" si="33"/>
        <v>1</v>
      </c>
    </row>
    <row r="52" spans="1:27" x14ac:dyDescent="0.3">
      <c r="G52" s="3" t="str">
        <f>IF(COUNTIF(G44:G51,TRUE)=COUNTA(G44:G51),"TAUTOLOGIA",IF(COUNTIF(G44:G51,FALSE)=COUNTA(G44:G51),"CONTRADICCION","REFUTABLE"))</f>
        <v>REFUTABLE</v>
      </c>
      <c r="N52" s="3" t="str">
        <f>IF(COUNTIF(N44:N51,TRUE)=COUNTA(N44:N51),"TAUTOLOGIA",IF(COUNTIF(N44:N51,FALSE)=COUNTA(N44:N51),"CONTRADICCION","REFUTABLE"))</f>
        <v>REFUTABLE</v>
      </c>
      <c r="V52" s="3" t="str">
        <f>IF(COUNTIF(V44:V51,TRUE)=COUNTA(V44:V51),"TAUTOLOGIA",IF(COUNTIF(V44:V51,FALSE)=COUNTA(V44:V51),"CONTRADICCION","REFUTABLE"))</f>
        <v>REFUTABLE</v>
      </c>
    </row>
    <row r="54" spans="1:27" x14ac:dyDescent="0.3">
      <c r="A54" t="s">
        <v>29</v>
      </c>
      <c r="K54" s="9"/>
    </row>
    <row r="55" spans="1:27" x14ac:dyDescent="0.3">
      <c r="A55" t="s">
        <v>30</v>
      </c>
      <c r="F55" s="1" t="s">
        <v>8</v>
      </c>
      <c r="G55" s="2" t="s">
        <v>11</v>
      </c>
      <c r="H55" s="1" t="s">
        <v>10</v>
      </c>
      <c r="I55" s="2" t="s">
        <v>14</v>
      </c>
      <c r="J55" s="1" t="s">
        <v>12</v>
      </c>
      <c r="L55" s="1" t="s">
        <v>8</v>
      </c>
      <c r="M55" s="2" t="s">
        <v>11</v>
      </c>
      <c r="N55" s="1" t="s">
        <v>10</v>
      </c>
      <c r="O55" s="2" t="s">
        <v>14</v>
      </c>
      <c r="P55" s="1" t="s">
        <v>12</v>
      </c>
      <c r="R55" s="10" t="s">
        <v>8</v>
      </c>
      <c r="S55" s="11" t="s">
        <v>11</v>
      </c>
      <c r="T55" s="10" t="s">
        <v>10</v>
      </c>
      <c r="U55" s="11" t="s">
        <v>14</v>
      </c>
      <c r="V55" s="10" t="s">
        <v>12</v>
      </c>
    </row>
    <row r="56" spans="1:27" x14ac:dyDescent="0.3">
      <c r="A56" t="s">
        <v>31</v>
      </c>
      <c r="F56" s="1" t="b">
        <f>TRUE</f>
        <v>1</v>
      </c>
      <c r="G56" s="2" t="b">
        <f>IF(F56=FALSE,H56,TRUE)</f>
        <v>1</v>
      </c>
      <c r="H56" s="1" t="b">
        <f>TRUE</f>
        <v>1</v>
      </c>
      <c r="I56" s="2" t="b">
        <f>IF(G56,J56,FALSE)</f>
        <v>1</v>
      </c>
      <c r="J56" s="1" t="b">
        <f>TRUE</f>
        <v>1</v>
      </c>
      <c r="L56" s="1" t="b">
        <f>TRUE</f>
        <v>1</v>
      </c>
      <c r="M56" s="2" t="b">
        <f>IF(NOT(L56),N56,TRUE)</f>
        <v>1</v>
      </c>
      <c r="N56" s="1" t="b">
        <f>TRUE</f>
        <v>1</v>
      </c>
      <c r="O56" s="2" t="b">
        <f>IF(G56=FALSE,FALSE,P56)</f>
        <v>1</v>
      </c>
      <c r="P56" s="1" t="b">
        <f>TRUE</f>
        <v>1</v>
      </c>
      <c r="R56" s="10" t="b">
        <f>TRUE</f>
        <v>1</v>
      </c>
      <c r="S56" s="11" t="b">
        <f>IF(AND(R56=FALSE,T56=FALSE),FALSE,TRUE)</f>
        <v>1</v>
      </c>
      <c r="T56" s="10" t="b">
        <f>TRUE</f>
        <v>1</v>
      </c>
      <c r="U56" s="11" t="b">
        <f>IF(OR(G56=FALSE,V56=FALSE),FALSE,TRUE)</f>
        <v>1</v>
      </c>
      <c r="V56" s="10" t="b">
        <f>TRUE</f>
        <v>1</v>
      </c>
    </row>
    <row r="57" spans="1:27" x14ac:dyDescent="0.3">
      <c r="A57" t="s">
        <v>32</v>
      </c>
      <c r="F57" s="1" t="b">
        <f>TRUE</f>
        <v>1</v>
      </c>
      <c r="G57" s="2" t="b">
        <f t="shared" ref="G57:G63" si="34">IF(F57=FALSE,H57,TRUE)</f>
        <v>1</v>
      </c>
      <c r="H57" s="1" t="b">
        <f>TRUE</f>
        <v>1</v>
      </c>
      <c r="I57" s="2" t="b">
        <f t="shared" ref="I57:I63" si="35">IF(G57,J57,FALSE)</f>
        <v>0</v>
      </c>
      <c r="J57" s="1" t="b">
        <f>FALSE</f>
        <v>0</v>
      </c>
      <c r="L57" s="1" t="b">
        <f>TRUE</f>
        <v>1</v>
      </c>
      <c r="M57" s="2" t="b">
        <f t="shared" ref="M57:M63" si="36">IF(NOT(L57),N57,TRUE)</f>
        <v>1</v>
      </c>
      <c r="N57" s="1" t="b">
        <f>TRUE</f>
        <v>1</v>
      </c>
      <c r="O57" s="2" t="b">
        <f t="shared" ref="O57:O63" si="37">IF(G57=FALSE,FALSE,P57)</f>
        <v>0</v>
      </c>
      <c r="P57" s="1" t="b">
        <f>FALSE</f>
        <v>0</v>
      </c>
      <c r="R57" s="10" t="b">
        <f>TRUE</f>
        <v>1</v>
      </c>
      <c r="S57" s="11" t="b">
        <f t="shared" ref="S57:S63" si="38">IF(AND(R57=FALSE,T57=FALSE),FALSE,TRUE)</f>
        <v>1</v>
      </c>
      <c r="T57" s="10" t="b">
        <f>TRUE</f>
        <v>1</v>
      </c>
      <c r="U57" s="11" t="b">
        <f t="shared" ref="U57:U63" si="39">IF(OR(G57=FALSE,V57=FALSE),FALSE,TRUE)</f>
        <v>0</v>
      </c>
      <c r="V57" s="10" t="b">
        <f>FALSE</f>
        <v>0</v>
      </c>
    </row>
    <row r="58" spans="1:27" x14ac:dyDescent="0.3">
      <c r="A58" t="s">
        <v>33</v>
      </c>
      <c r="F58" s="1" t="b">
        <f>TRUE</f>
        <v>1</v>
      </c>
      <c r="G58" s="2" t="b">
        <f t="shared" si="34"/>
        <v>1</v>
      </c>
      <c r="H58" s="1" t="b">
        <f>FALSE</f>
        <v>0</v>
      </c>
      <c r="I58" s="2" t="b">
        <f t="shared" si="35"/>
        <v>1</v>
      </c>
      <c r="J58" s="1" t="b">
        <f>TRUE</f>
        <v>1</v>
      </c>
      <c r="L58" s="1" t="b">
        <f>TRUE</f>
        <v>1</v>
      </c>
      <c r="M58" s="2" t="b">
        <f t="shared" si="36"/>
        <v>1</v>
      </c>
      <c r="N58" s="1" t="b">
        <f>FALSE</f>
        <v>0</v>
      </c>
      <c r="O58" s="2" t="b">
        <f t="shared" si="37"/>
        <v>1</v>
      </c>
      <c r="P58" s="1" t="b">
        <f>TRUE</f>
        <v>1</v>
      </c>
      <c r="R58" s="10" t="b">
        <f>TRUE</f>
        <v>1</v>
      </c>
      <c r="S58" s="11" t="b">
        <f t="shared" si="38"/>
        <v>1</v>
      </c>
      <c r="T58" s="10" t="b">
        <f>FALSE</f>
        <v>0</v>
      </c>
      <c r="U58" s="11" t="b">
        <f t="shared" si="39"/>
        <v>1</v>
      </c>
      <c r="V58" s="10" t="b">
        <f>TRUE</f>
        <v>1</v>
      </c>
    </row>
    <row r="59" spans="1:27" x14ac:dyDescent="0.3">
      <c r="F59" s="1" t="b">
        <f>TRUE</f>
        <v>1</v>
      </c>
      <c r="G59" s="2" t="b">
        <f t="shared" si="34"/>
        <v>1</v>
      </c>
      <c r="H59" s="1" t="b">
        <f>FALSE</f>
        <v>0</v>
      </c>
      <c r="I59" s="2" t="b">
        <f t="shared" si="35"/>
        <v>0</v>
      </c>
      <c r="J59" s="1" t="b">
        <f>FALSE</f>
        <v>0</v>
      </c>
      <c r="L59" s="1" t="b">
        <f>TRUE</f>
        <v>1</v>
      </c>
      <c r="M59" s="2" t="b">
        <f t="shared" si="36"/>
        <v>1</v>
      </c>
      <c r="N59" s="1" t="b">
        <f>FALSE</f>
        <v>0</v>
      </c>
      <c r="O59" s="2" t="b">
        <f t="shared" si="37"/>
        <v>0</v>
      </c>
      <c r="P59" s="1" t="b">
        <f>FALSE</f>
        <v>0</v>
      </c>
      <c r="R59" s="10" t="b">
        <f>TRUE</f>
        <v>1</v>
      </c>
      <c r="S59" s="11" t="b">
        <f t="shared" si="38"/>
        <v>1</v>
      </c>
      <c r="T59" s="10" t="b">
        <f>FALSE</f>
        <v>0</v>
      </c>
      <c r="U59" s="11" t="b">
        <f t="shared" si="39"/>
        <v>0</v>
      </c>
      <c r="V59" s="10" t="b">
        <f>FALSE</f>
        <v>0</v>
      </c>
    </row>
    <row r="60" spans="1:27" x14ac:dyDescent="0.3">
      <c r="F60" s="1" t="b">
        <f>FALSE</f>
        <v>0</v>
      </c>
      <c r="G60" s="2" t="b">
        <f t="shared" si="34"/>
        <v>1</v>
      </c>
      <c r="H60" s="1" t="b">
        <f>TRUE</f>
        <v>1</v>
      </c>
      <c r="I60" s="2" t="b">
        <f t="shared" si="35"/>
        <v>1</v>
      </c>
      <c r="J60" s="1" t="b">
        <f>TRUE</f>
        <v>1</v>
      </c>
      <c r="L60" s="1" t="b">
        <f>FALSE</f>
        <v>0</v>
      </c>
      <c r="M60" s="2" t="b">
        <f t="shared" si="36"/>
        <v>1</v>
      </c>
      <c r="N60" s="1" t="b">
        <f>TRUE</f>
        <v>1</v>
      </c>
      <c r="O60" s="2" t="b">
        <f t="shared" si="37"/>
        <v>1</v>
      </c>
      <c r="P60" s="1" t="b">
        <f>TRUE</f>
        <v>1</v>
      </c>
      <c r="R60" s="10" t="b">
        <f>FALSE</f>
        <v>0</v>
      </c>
      <c r="S60" s="11" t="b">
        <f t="shared" si="38"/>
        <v>1</v>
      </c>
      <c r="T60" s="10" t="b">
        <f>TRUE</f>
        <v>1</v>
      </c>
      <c r="U60" s="11" t="b">
        <f t="shared" si="39"/>
        <v>1</v>
      </c>
      <c r="V60" s="10" t="b">
        <f>TRUE</f>
        <v>1</v>
      </c>
    </row>
    <row r="61" spans="1:27" x14ac:dyDescent="0.3">
      <c r="F61" s="1" t="b">
        <f>FALSE</f>
        <v>0</v>
      </c>
      <c r="G61" s="2" t="b">
        <f t="shared" si="34"/>
        <v>1</v>
      </c>
      <c r="H61" s="1" t="b">
        <f>TRUE</f>
        <v>1</v>
      </c>
      <c r="I61" s="2" t="b">
        <f t="shared" si="35"/>
        <v>0</v>
      </c>
      <c r="J61" s="1" t="b">
        <f>FALSE</f>
        <v>0</v>
      </c>
      <c r="L61" s="1" t="b">
        <f>FALSE</f>
        <v>0</v>
      </c>
      <c r="M61" s="2" t="b">
        <f t="shared" si="36"/>
        <v>1</v>
      </c>
      <c r="N61" s="1" t="b">
        <f>TRUE</f>
        <v>1</v>
      </c>
      <c r="O61" s="2" t="b">
        <f t="shared" si="37"/>
        <v>0</v>
      </c>
      <c r="P61" s="1" t="b">
        <f>FALSE</f>
        <v>0</v>
      </c>
      <c r="R61" s="10" t="b">
        <f>FALSE</f>
        <v>0</v>
      </c>
      <c r="S61" s="11" t="b">
        <f t="shared" si="38"/>
        <v>1</v>
      </c>
      <c r="T61" s="10" t="b">
        <f>TRUE</f>
        <v>1</v>
      </c>
      <c r="U61" s="11" t="b">
        <f t="shared" si="39"/>
        <v>0</v>
      </c>
      <c r="V61" s="10" t="b">
        <f>FALSE</f>
        <v>0</v>
      </c>
    </row>
    <row r="62" spans="1:27" x14ac:dyDescent="0.3">
      <c r="F62" s="1" t="b">
        <f>FALSE</f>
        <v>0</v>
      </c>
      <c r="G62" s="2" t="b">
        <f t="shared" si="34"/>
        <v>0</v>
      </c>
      <c r="H62" s="1" t="b">
        <f>FALSE</f>
        <v>0</v>
      </c>
      <c r="I62" s="2" t="b">
        <f t="shared" si="35"/>
        <v>0</v>
      </c>
      <c r="J62" s="1" t="b">
        <f>TRUE</f>
        <v>1</v>
      </c>
      <c r="L62" s="1" t="b">
        <f>FALSE</f>
        <v>0</v>
      </c>
      <c r="M62" s="2" t="b">
        <f t="shared" si="36"/>
        <v>0</v>
      </c>
      <c r="N62" s="1" t="b">
        <f>FALSE</f>
        <v>0</v>
      </c>
      <c r="O62" s="2" t="b">
        <f t="shared" si="37"/>
        <v>0</v>
      </c>
      <c r="P62" s="1" t="b">
        <f>TRUE</f>
        <v>1</v>
      </c>
      <c r="R62" s="10" t="b">
        <f>FALSE</f>
        <v>0</v>
      </c>
      <c r="S62" s="11" t="b">
        <f t="shared" si="38"/>
        <v>0</v>
      </c>
      <c r="T62" s="10" t="b">
        <f>FALSE</f>
        <v>0</v>
      </c>
      <c r="U62" s="11" t="b">
        <f t="shared" si="39"/>
        <v>0</v>
      </c>
      <c r="V62" s="10" t="b">
        <f>TRUE</f>
        <v>1</v>
      </c>
    </row>
    <row r="63" spans="1:27" x14ac:dyDescent="0.3">
      <c r="F63" s="1" t="b">
        <f>FALSE</f>
        <v>0</v>
      </c>
      <c r="G63" s="2" t="b">
        <f t="shared" si="34"/>
        <v>0</v>
      </c>
      <c r="H63" s="1" t="b">
        <f>FALSE</f>
        <v>0</v>
      </c>
      <c r="I63" s="2" t="b">
        <f t="shared" si="35"/>
        <v>0</v>
      </c>
      <c r="J63" s="1" t="b">
        <f>FALSE</f>
        <v>0</v>
      </c>
      <c r="L63" s="1" t="b">
        <f>FALSE</f>
        <v>0</v>
      </c>
      <c r="M63" s="2" t="b">
        <f t="shared" si="36"/>
        <v>0</v>
      </c>
      <c r="N63" s="1" t="b">
        <f>FALSE</f>
        <v>0</v>
      </c>
      <c r="O63" s="2" t="b">
        <f t="shared" si="37"/>
        <v>0</v>
      </c>
      <c r="P63" s="1" t="b">
        <f>FALSE</f>
        <v>0</v>
      </c>
      <c r="R63" s="10" t="b">
        <f>FALSE</f>
        <v>0</v>
      </c>
      <c r="S63" s="11" t="b">
        <f t="shared" si="38"/>
        <v>0</v>
      </c>
      <c r="T63" s="10" t="b">
        <f>FALSE</f>
        <v>0</v>
      </c>
      <c r="U63" s="11" t="b">
        <f t="shared" si="39"/>
        <v>0</v>
      </c>
      <c r="V63" s="10" t="b">
        <f>FALSE</f>
        <v>0</v>
      </c>
    </row>
    <row r="64" spans="1:27" x14ac:dyDescent="0.3">
      <c r="I64" s="3" t="str">
        <f>IF(COUNTIF(I56:I63,TRUE)=COUNTA(I56:I63),"TAUTOLOGIA",IF(COUNTIF(I56:I63,FALSE)=COUNTA(I56:I63),"CONTRADICCION","REFUTABLE"))</f>
        <v>REFUTABLE</v>
      </c>
      <c r="O64" s="3" t="str">
        <f>IF(COUNTIF(O56:O63,TRUE)=COUNTA(O56:O63),"TAUTOLOGIA",IF(COUNTIF(O56:O63,FALSE)=COUNTA(O56:O63),"CONTRADICCION","REFUTABLE"))</f>
        <v>REFUTABLE</v>
      </c>
      <c r="U64" s="3" t="str">
        <f>IF(COUNTIF(U56:U63,TRUE)=COUNTA(U56:U63),"TAUTOLOGIA",IF(COUNTIF(U56:U63,FALSE)=COUNTA(U56:U63),"CONTRADICCION","REFUTABLE"))</f>
        <v>REFUTABLE</v>
      </c>
    </row>
    <row r="65" spans="1:22" x14ac:dyDescent="0.3">
      <c r="A65" t="s">
        <v>35</v>
      </c>
    </row>
    <row r="66" spans="1:22" x14ac:dyDescent="0.3">
      <c r="A66" t="s">
        <v>55</v>
      </c>
      <c r="F66" s="1" t="s">
        <v>8</v>
      </c>
      <c r="G66" s="2" t="s">
        <v>11</v>
      </c>
      <c r="H66" s="1" t="s">
        <v>10</v>
      </c>
      <c r="I66" s="2" t="s">
        <v>11</v>
      </c>
      <c r="J66" s="1" t="s">
        <v>12</v>
      </c>
      <c r="L66" s="1" t="s">
        <v>8</v>
      </c>
      <c r="M66" s="2" t="s">
        <v>11</v>
      </c>
      <c r="N66" s="1" t="s">
        <v>10</v>
      </c>
      <c r="O66" s="2" t="s">
        <v>11</v>
      </c>
      <c r="P66" s="1" t="s">
        <v>12</v>
      </c>
      <c r="R66" s="1" t="s">
        <v>8</v>
      </c>
      <c r="S66" s="2" t="s">
        <v>11</v>
      </c>
      <c r="T66" s="1" t="s">
        <v>10</v>
      </c>
      <c r="U66" s="2" t="s">
        <v>11</v>
      </c>
      <c r="V66" s="1" t="s">
        <v>12</v>
      </c>
    </row>
    <row r="67" spans="1:22" x14ac:dyDescent="0.3">
      <c r="A67" t="s">
        <v>56</v>
      </c>
      <c r="F67" s="1" t="b">
        <f>TRUE</f>
        <v>1</v>
      </c>
      <c r="G67" s="2" t="b">
        <f>IF(F67=FALSE,H67,TRUE)</f>
        <v>1</v>
      </c>
      <c r="H67" s="1" t="b">
        <f>TRUE</f>
        <v>1</v>
      </c>
      <c r="I67" s="2" t="b">
        <f>IF(G67=FALSE,J67,TRUE)</f>
        <v>1</v>
      </c>
      <c r="J67" s="1" t="b">
        <f>TRUE</f>
        <v>1</v>
      </c>
      <c r="L67" s="1" t="b">
        <f>TRUE</f>
        <v>1</v>
      </c>
      <c r="M67" s="2" t="b">
        <f>IF(NOT(N67),P67,TRUE)</f>
        <v>1</v>
      </c>
      <c r="N67" s="1" t="b">
        <f>TRUE</f>
        <v>1</v>
      </c>
      <c r="O67" s="2" t="b">
        <f>IF(NOT(M67),P67,TRUE)</f>
        <v>1</v>
      </c>
      <c r="P67" s="1" t="b">
        <f>TRUE</f>
        <v>1</v>
      </c>
      <c r="R67" s="1" t="b">
        <f>TRUE</f>
        <v>1</v>
      </c>
      <c r="S67" s="2" t="b">
        <f>IF(AND(R67=FALSE,T67=FALSE),FALSE,TRUE)</f>
        <v>1</v>
      </c>
      <c r="T67" s="1" t="b">
        <f>TRUE</f>
        <v>1</v>
      </c>
      <c r="U67" s="2" t="b">
        <f>IF(AND(S67=FALSE,V67=FALSE),FALSE,TRUE)</f>
        <v>1</v>
      </c>
      <c r="V67" s="1" t="b">
        <f>TRUE</f>
        <v>1</v>
      </c>
    </row>
    <row r="68" spans="1:22" x14ac:dyDescent="0.3">
      <c r="A68" t="s">
        <v>57</v>
      </c>
      <c r="F68" s="1" t="b">
        <f>TRUE</f>
        <v>1</v>
      </c>
      <c r="G68" s="2" t="b">
        <f t="shared" ref="G68:G74" si="40">IF(F68=FALSE,H68,TRUE)</f>
        <v>1</v>
      </c>
      <c r="H68" s="1" t="b">
        <f>TRUE</f>
        <v>1</v>
      </c>
      <c r="I68" s="2" t="b">
        <f t="shared" ref="I68:I73" si="41">IF(G68=FALSE,J68,TRUE)</f>
        <v>1</v>
      </c>
      <c r="J68" s="1" t="b">
        <f>FALSE</f>
        <v>0</v>
      </c>
      <c r="L68" s="1" t="b">
        <f>TRUE</f>
        <v>1</v>
      </c>
      <c r="M68" s="2" t="b">
        <f t="shared" ref="M68:M74" si="42">IF(NOT(L68),N68,TRUE)</f>
        <v>1</v>
      </c>
      <c r="N68" s="1" t="b">
        <f>TRUE</f>
        <v>1</v>
      </c>
      <c r="O68" s="2" t="b">
        <f t="shared" ref="O68:O74" si="43">IF(NOT(M68),P68,TRUE)</f>
        <v>1</v>
      </c>
      <c r="P68" s="1" t="b">
        <f>FALSE</f>
        <v>0</v>
      </c>
      <c r="R68" s="1" t="b">
        <f>TRUE</f>
        <v>1</v>
      </c>
      <c r="S68" s="2" t="b">
        <f t="shared" ref="S68:S74" si="44">IF(AND(R68=FALSE,T68=FALSE),FALSE,TRUE)</f>
        <v>1</v>
      </c>
      <c r="T68" s="1" t="b">
        <f>TRUE</f>
        <v>1</v>
      </c>
      <c r="U68" s="2" t="b">
        <f t="shared" ref="U68:U74" si="45">IF(AND(S68=FALSE,V68=FALSE),FALSE,TRUE)</f>
        <v>1</v>
      </c>
      <c r="V68" s="1" t="b">
        <f>FALSE</f>
        <v>0</v>
      </c>
    </row>
    <row r="69" spans="1:22" x14ac:dyDescent="0.3">
      <c r="A69" t="s">
        <v>58</v>
      </c>
      <c r="F69" s="1" t="b">
        <f>TRUE</f>
        <v>1</v>
      </c>
      <c r="G69" s="2" t="b">
        <f t="shared" si="40"/>
        <v>1</v>
      </c>
      <c r="H69" s="1" t="b">
        <f>FALSE</f>
        <v>0</v>
      </c>
      <c r="I69" s="2" t="b">
        <f t="shared" si="41"/>
        <v>1</v>
      </c>
      <c r="J69" s="1" t="b">
        <f>TRUE</f>
        <v>1</v>
      </c>
      <c r="L69" s="1" t="b">
        <f>TRUE</f>
        <v>1</v>
      </c>
      <c r="M69" s="2" t="b">
        <f t="shared" si="42"/>
        <v>1</v>
      </c>
      <c r="N69" s="1" t="b">
        <f>FALSE</f>
        <v>0</v>
      </c>
      <c r="O69" s="2" t="b">
        <f t="shared" si="43"/>
        <v>1</v>
      </c>
      <c r="P69" s="1" t="b">
        <f>TRUE</f>
        <v>1</v>
      </c>
      <c r="R69" s="1" t="b">
        <f>TRUE</f>
        <v>1</v>
      </c>
      <c r="S69" s="2" t="b">
        <f t="shared" si="44"/>
        <v>1</v>
      </c>
      <c r="T69" s="1" t="b">
        <f>FALSE</f>
        <v>0</v>
      </c>
      <c r="U69" s="2" t="b">
        <f t="shared" si="45"/>
        <v>1</v>
      </c>
      <c r="V69" s="1" t="b">
        <f>TRUE</f>
        <v>1</v>
      </c>
    </row>
    <row r="70" spans="1:22" x14ac:dyDescent="0.3">
      <c r="F70" s="1" t="b">
        <f>TRUE</f>
        <v>1</v>
      </c>
      <c r="G70" s="2" t="b">
        <f t="shared" si="40"/>
        <v>1</v>
      </c>
      <c r="H70" s="1" t="b">
        <f>FALSE</f>
        <v>0</v>
      </c>
      <c r="I70" s="2" t="b">
        <f t="shared" si="41"/>
        <v>1</v>
      </c>
      <c r="J70" s="1" t="b">
        <f>FALSE</f>
        <v>0</v>
      </c>
      <c r="L70" s="1" t="b">
        <f>TRUE</f>
        <v>1</v>
      </c>
      <c r="M70" s="2" t="b">
        <f t="shared" si="42"/>
        <v>1</v>
      </c>
      <c r="N70" s="1" t="b">
        <f>FALSE</f>
        <v>0</v>
      </c>
      <c r="O70" s="2" t="b">
        <f t="shared" si="43"/>
        <v>1</v>
      </c>
      <c r="P70" s="1" t="b">
        <f>FALSE</f>
        <v>0</v>
      </c>
      <c r="R70" s="1" t="b">
        <f>TRUE</f>
        <v>1</v>
      </c>
      <c r="S70" s="2" t="b">
        <f t="shared" si="44"/>
        <v>1</v>
      </c>
      <c r="T70" s="1" t="b">
        <f>FALSE</f>
        <v>0</v>
      </c>
      <c r="U70" s="2" t="b">
        <f t="shared" si="45"/>
        <v>1</v>
      </c>
      <c r="V70" s="1" t="b">
        <f>FALSE</f>
        <v>0</v>
      </c>
    </row>
    <row r="71" spans="1:22" x14ac:dyDescent="0.3">
      <c r="F71" s="1" t="b">
        <f>FALSE</f>
        <v>0</v>
      </c>
      <c r="G71" s="2" t="b">
        <f t="shared" si="40"/>
        <v>1</v>
      </c>
      <c r="H71" s="1" t="b">
        <f>TRUE</f>
        <v>1</v>
      </c>
      <c r="I71" s="2" t="b">
        <f t="shared" si="41"/>
        <v>1</v>
      </c>
      <c r="J71" s="1" t="b">
        <f>TRUE</f>
        <v>1</v>
      </c>
      <c r="L71" s="1" t="b">
        <f>FALSE</f>
        <v>0</v>
      </c>
      <c r="M71" s="2" t="b">
        <f t="shared" si="42"/>
        <v>1</v>
      </c>
      <c r="N71" s="1" t="b">
        <f>TRUE</f>
        <v>1</v>
      </c>
      <c r="O71" s="2" t="b">
        <f t="shared" si="43"/>
        <v>1</v>
      </c>
      <c r="P71" s="1" t="b">
        <f>TRUE</f>
        <v>1</v>
      </c>
      <c r="R71" s="1" t="b">
        <f>FALSE</f>
        <v>0</v>
      </c>
      <c r="S71" s="2" t="b">
        <f t="shared" si="44"/>
        <v>1</v>
      </c>
      <c r="T71" s="1" t="b">
        <f>TRUE</f>
        <v>1</v>
      </c>
      <c r="U71" s="2" t="b">
        <f t="shared" si="45"/>
        <v>1</v>
      </c>
      <c r="V71" s="1" t="b">
        <f>TRUE</f>
        <v>1</v>
      </c>
    </row>
    <row r="72" spans="1:22" x14ac:dyDescent="0.3">
      <c r="F72" s="1" t="b">
        <f>FALSE</f>
        <v>0</v>
      </c>
      <c r="G72" s="2" t="b">
        <f t="shared" si="40"/>
        <v>1</v>
      </c>
      <c r="H72" s="1" t="b">
        <f>TRUE</f>
        <v>1</v>
      </c>
      <c r="I72" s="2" t="b">
        <f t="shared" si="41"/>
        <v>1</v>
      </c>
      <c r="J72" s="1" t="b">
        <f>FALSE</f>
        <v>0</v>
      </c>
      <c r="L72" s="1" t="b">
        <f>FALSE</f>
        <v>0</v>
      </c>
      <c r="M72" s="2" t="b">
        <f t="shared" si="42"/>
        <v>1</v>
      </c>
      <c r="N72" s="1" t="b">
        <f>TRUE</f>
        <v>1</v>
      </c>
      <c r="O72" s="2" t="b">
        <f t="shared" si="43"/>
        <v>1</v>
      </c>
      <c r="P72" s="1" t="b">
        <f>FALSE</f>
        <v>0</v>
      </c>
      <c r="R72" s="1" t="b">
        <f>FALSE</f>
        <v>0</v>
      </c>
      <c r="S72" s="2" t="b">
        <f t="shared" si="44"/>
        <v>1</v>
      </c>
      <c r="T72" s="1" t="b">
        <f>TRUE</f>
        <v>1</v>
      </c>
      <c r="U72" s="2" t="b">
        <f t="shared" si="45"/>
        <v>1</v>
      </c>
      <c r="V72" s="1" t="b">
        <f>FALSE</f>
        <v>0</v>
      </c>
    </row>
    <row r="73" spans="1:22" x14ac:dyDescent="0.3">
      <c r="F73" s="1" t="b">
        <f>FALSE</f>
        <v>0</v>
      </c>
      <c r="G73" s="2" t="b">
        <f t="shared" si="40"/>
        <v>0</v>
      </c>
      <c r="H73" s="1" t="b">
        <f>FALSE</f>
        <v>0</v>
      </c>
      <c r="I73" s="2" t="b">
        <f t="shared" si="41"/>
        <v>1</v>
      </c>
      <c r="J73" s="1" t="b">
        <f>TRUE</f>
        <v>1</v>
      </c>
      <c r="L73" s="1" t="b">
        <f>FALSE</f>
        <v>0</v>
      </c>
      <c r="M73" s="2" t="b">
        <f t="shared" si="42"/>
        <v>0</v>
      </c>
      <c r="N73" s="1" t="b">
        <f>FALSE</f>
        <v>0</v>
      </c>
      <c r="O73" s="2" t="b">
        <f t="shared" si="43"/>
        <v>1</v>
      </c>
      <c r="P73" s="1" t="b">
        <f>TRUE</f>
        <v>1</v>
      </c>
      <c r="R73" s="1" t="b">
        <f>FALSE</f>
        <v>0</v>
      </c>
      <c r="S73" s="2" t="b">
        <f t="shared" si="44"/>
        <v>0</v>
      </c>
      <c r="T73" s="1" t="b">
        <f>FALSE</f>
        <v>0</v>
      </c>
      <c r="U73" s="2" t="b">
        <f t="shared" si="45"/>
        <v>1</v>
      </c>
      <c r="V73" s="1" t="b">
        <f>TRUE</f>
        <v>1</v>
      </c>
    </row>
    <row r="74" spans="1:22" x14ac:dyDescent="0.3">
      <c r="F74" s="1" t="b">
        <f>FALSE</f>
        <v>0</v>
      </c>
      <c r="G74" s="2" t="b">
        <f t="shared" si="40"/>
        <v>0</v>
      </c>
      <c r="H74" s="1" t="b">
        <f>FALSE</f>
        <v>0</v>
      </c>
      <c r="I74" s="2" t="b">
        <f t="shared" ref="I74" si="46">IF(H74=FALSE,J74,TRUE)</f>
        <v>0</v>
      </c>
      <c r="J74" s="1" t="b">
        <f>FALSE</f>
        <v>0</v>
      </c>
      <c r="L74" s="1" t="b">
        <f>FALSE</f>
        <v>0</v>
      </c>
      <c r="M74" s="2" t="b">
        <f t="shared" si="42"/>
        <v>0</v>
      </c>
      <c r="N74" s="1" t="b">
        <f>FALSE</f>
        <v>0</v>
      </c>
      <c r="O74" s="2" t="b">
        <f t="shared" si="43"/>
        <v>0</v>
      </c>
      <c r="P74" s="1" t="b">
        <f>FALSE</f>
        <v>0</v>
      </c>
      <c r="R74" s="1" t="b">
        <f>FALSE</f>
        <v>0</v>
      </c>
      <c r="S74" s="2" t="b">
        <f t="shared" si="44"/>
        <v>0</v>
      </c>
      <c r="T74" s="1" t="b">
        <f>FALSE</f>
        <v>0</v>
      </c>
      <c r="U74" s="2" t="b">
        <f t="shared" si="45"/>
        <v>0</v>
      </c>
      <c r="V74" s="1" t="b">
        <f>FALSE</f>
        <v>0</v>
      </c>
    </row>
    <row r="75" spans="1:22" x14ac:dyDescent="0.3">
      <c r="I75" s="3" t="str">
        <f>IF(COUNTIF(I67:I74,TRUE)=COUNTA(I67:I74),"TAUTOLOGIA",IF(COUNTIF(I67:I74,FALSE)=COUNTA(I67:I74),"CONTRADICCION","REFUTABLE"))</f>
        <v>REFUTABLE</v>
      </c>
      <c r="O75" s="3" t="str">
        <f>IF(COUNTIF(O67:O74,TRUE)=COUNTA(O67:O74),"TAUTOLOGIA",IF(COUNTIF(O67:O74,FALSE)=COUNTA(O67:O74),"CONTRADICCION","REFUTABLE"))</f>
        <v>REFUTABLE</v>
      </c>
      <c r="U75" s="3" t="str">
        <f>IF(COUNTIF(U67:U74,TRUE)=COUNTA(U67:U74),"TAUTOLOGIA",IF(COUNTIF(U67:U74,FALSE)=COUNTA(U67:U74),"CONTRADICCION","REFUTABLE"))</f>
        <v>REFUTABLE</v>
      </c>
    </row>
    <row r="76" spans="1:22" x14ac:dyDescent="0.3">
      <c r="A76" t="s">
        <v>36</v>
      </c>
    </row>
    <row r="77" spans="1:22" x14ac:dyDescent="0.3">
      <c r="A77" t="s">
        <v>37</v>
      </c>
      <c r="F77" s="1" t="s">
        <v>8</v>
      </c>
      <c r="G77" s="2" t="s">
        <v>15</v>
      </c>
      <c r="H77" s="1" t="s">
        <v>10</v>
      </c>
      <c r="I77" s="2" t="s">
        <v>41</v>
      </c>
      <c r="J77" s="1" t="s">
        <v>12</v>
      </c>
      <c r="L77" s="1" t="s">
        <v>8</v>
      </c>
      <c r="M77" s="2" t="s">
        <v>15</v>
      </c>
      <c r="N77" s="1" t="s">
        <v>10</v>
      </c>
      <c r="O77" s="2" t="s">
        <v>41</v>
      </c>
      <c r="P77" s="1" t="s">
        <v>12</v>
      </c>
      <c r="R77" s="1" t="s">
        <v>8</v>
      </c>
      <c r="S77" s="2" t="s">
        <v>15</v>
      </c>
      <c r="T77" s="1" t="s">
        <v>10</v>
      </c>
      <c r="U77" s="2" t="s">
        <v>41</v>
      </c>
      <c r="V77" s="1" t="s">
        <v>12</v>
      </c>
    </row>
    <row r="78" spans="1:22" x14ac:dyDescent="0.3">
      <c r="A78" t="s">
        <v>38</v>
      </c>
      <c r="F78" s="1" t="b">
        <f>TRUE</f>
        <v>1</v>
      </c>
      <c r="G78" s="2" t="b">
        <f>IF(F78,H78,TRUE)</f>
        <v>1</v>
      </c>
      <c r="H78" s="1" t="b">
        <f>TRUE</f>
        <v>1</v>
      </c>
      <c r="I78" s="2" t="b">
        <f>IF(H78=J78,TRUE,FALSE)</f>
        <v>1</v>
      </c>
      <c r="J78" s="1" t="b">
        <f>TRUE</f>
        <v>1</v>
      </c>
      <c r="L78" s="1" t="b">
        <f>TRUE</f>
        <v>1</v>
      </c>
      <c r="M78" s="2" t="b">
        <f>IF(L78=FALSE,TRUE,N78)</f>
        <v>1</v>
      </c>
      <c r="N78" s="1" t="b">
        <f>TRUE</f>
        <v>1</v>
      </c>
      <c r="O78" s="2" t="b">
        <f>IF(N78&lt;&gt;P78,FALSE,TRUE)</f>
        <v>1</v>
      </c>
      <c r="P78" s="1" t="b">
        <f>TRUE</f>
        <v>1</v>
      </c>
      <c r="R78" s="1" t="b">
        <f>TRUE</f>
        <v>1</v>
      </c>
      <c r="S78" s="2" t="b">
        <f>IF(AND(R78,T78=FALSE),FALSE,TRUE)</f>
        <v>1</v>
      </c>
      <c r="T78" s="1" t="b">
        <f>TRUE</f>
        <v>1</v>
      </c>
      <c r="U78" s="2" t="b">
        <f>EXACT(T78,V78)</f>
        <v>1</v>
      </c>
      <c r="V78" s="1" t="b">
        <f>TRUE</f>
        <v>1</v>
      </c>
    </row>
    <row r="79" spans="1:22" x14ac:dyDescent="0.3">
      <c r="A79" t="s">
        <v>39</v>
      </c>
      <c r="F79" s="1" t="b">
        <f>TRUE</f>
        <v>1</v>
      </c>
      <c r="G79" s="2" t="b">
        <f t="shared" ref="G79:G85" si="47">IF(F79,H79,TRUE)</f>
        <v>1</v>
      </c>
      <c r="H79" s="1" t="b">
        <f>TRUE</f>
        <v>1</v>
      </c>
      <c r="I79" s="2" t="b">
        <f t="shared" ref="I79:I85" si="48">IF(H79=J79,TRUE,FALSE)</f>
        <v>0</v>
      </c>
      <c r="J79" s="1" t="b">
        <f>FALSE</f>
        <v>0</v>
      </c>
      <c r="L79" s="1" t="b">
        <f>TRUE</f>
        <v>1</v>
      </c>
      <c r="M79" s="2" t="b">
        <f t="shared" ref="M79:M85" si="49">IF(L79=FALSE,TRUE,N79)</f>
        <v>1</v>
      </c>
      <c r="N79" s="1" t="b">
        <f>TRUE</f>
        <v>1</v>
      </c>
      <c r="O79" s="2" t="b">
        <f t="shared" ref="O79:O85" si="50">IF(N79&lt;&gt;P79,FALSE,TRUE)</f>
        <v>0</v>
      </c>
      <c r="P79" s="1" t="b">
        <f>FALSE</f>
        <v>0</v>
      </c>
      <c r="R79" s="1" t="b">
        <f>TRUE</f>
        <v>1</v>
      </c>
      <c r="S79" s="2" t="b">
        <f t="shared" ref="S79:S85" si="51">IF(AND(R79,T79=FALSE),FALSE,TRUE)</f>
        <v>1</v>
      </c>
      <c r="T79" s="1" t="b">
        <f>TRUE</f>
        <v>1</v>
      </c>
      <c r="U79" s="2" t="b">
        <f t="shared" ref="U79:U85" si="52">EXACT(T79,V79)</f>
        <v>0</v>
      </c>
      <c r="V79" s="1" t="b">
        <f>FALSE</f>
        <v>0</v>
      </c>
    </row>
    <row r="80" spans="1:22" x14ac:dyDescent="0.3">
      <c r="A80" t="s">
        <v>40</v>
      </c>
      <c r="F80" s="1" t="b">
        <f>TRUE</f>
        <v>1</v>
      </c>
      <c r="G80" s="2" t="b">
        <f t="shared" si="47"/>
        <v>0</v>
      </c>
      <c r="H80" s="1" t="b">
        <f>FALSE</f>
        <v>0</v>
      </c>
      <c r="I80" s="2" t="b">
        <f t="shared" si="48"/>
        <v>0</v>
      </c>
      <c r="J80" s="1" t="b">
        <f>TRUE</f>
        <v>1</v>
      </c>
      <c r="L80" s="1" t="b">
        <f>TRUE</f>
        <v>1</v>
      </c>
      <c r="M80" s="2" t="b">
        <f t="shared" si="49"/>
        <v>0</v>
      </c>
      <c r="N80" s="1" t="b">
        <f>FALSE</f>
        <v>0</v>
      </c>
      <c r="O80" s="2" t="b">
        <f t="shared" si="50"/>
        <v>0</v>
      </c>
      <c r="P80" s="1" t="b">
        <f>TRUE</f>
        <v>1</v>
      </c>
      <c r="R80" s="1" t="b">
        <f>TRUE</f>
        <v>1</v>
      </c>
      <c r="S80" s="2" t="b">
        <f t="shared" si="51"/>
        <v>0</v>
      </c>
      <c r="T80" s="1" t="b">
        <f>FALSE</f>
        <v>0</v>
      </c>
      <c r="U80" s="2" t="b">
        <f t="shared" si="52"/>
        <v>0</v>
      </c>
      <c r="V80" s="1" t="b">
        <f>TRUE</f>
        <v>1</v>
      </c>
    </row>
    <row r="81" spans="1:24" x14ac:dyDescent="0.3">
      <c r="F81" s="1" t="b">
        <f>TRUE</f>
        <v>1</v>
      </c>
      <c r="G81" s="2" t="b">
        <f t="shared" si="47"/>
        <v>0</v>
      </c>
      <c r="H81" s="1" t="b">
        <f>FALSE</f>
        <v>0</v>
      </c>
      <c r="I81" s="2" t="b">
        <f t="shared" si="48"/>
        <v>1</v>
      </c>
      <c r="J81" s="1" t="b">
        <f>FALSE</f>
        <v>0</v>
      </c>
      <c r="L81" s="1" t="b">
        <f>TRUE</f>
        <v>1</v>
      </c>
      <c r="M81" s="2" t="b">
        <f t="shared" si="49"/>
        <v>0</v>
      </c>
      <c r="N81" s="1" t="b">
        <f>FALSE</f>
        <v>0</v>
      </c>
      <c r="O81" s="2" t="b">
        <f t="shared" si="50"/>
        <v>1</v>
      </c>
      <c r="P81" s="1" t="b">
        <f>FALSE</f>
        <v>0</v>
      </c>
      <c r="R81" s="1" t="b">
        <f>TRUE</f>
        <v>1</v>
      </c>
      <c r="S81" s="2" t="b">
        <f t="shared" si="51"/>
        <v>0</v>
      </c>
      <c r="T81" s="1" t="b">
        <f>FALSE</f>
        <v>0</v>
      </c>
      <c r="U81" s="2" t="b">
        <f t="shared" si="52"/>
        <v>1</v>
      </c>
      <c r="V81" s="1" t="b">
        <f>FALSE</f>
        <v>0</v>
      </c>
    </row>
    <row r="82" spans="1:24" x14ac:dyDescent="0.3">
      <c r="F82" s="1" t="b">
        <f>FALSE</f>
        <v>0</v>
      </c>
      <c r="G82" s="2" t="b">
        <f t="shared" si="47"/>
        <v>1</v>
      </c>
      <c r="H82" s="1" t="b">
        <f>TRUE</f>
        <v>1</v>
      </c>
      <c r="I82" s="2" t="b">
        <f t="shared" si="48"/>
        <v>1</v>
      </c>
      <c r="J82" s="1" t="b">
        <f>TRUE</f>
        <v>1</v>
      </c>
      <c r="L82" s="1" t="b">
        <f>FALSE</f>
        <v>0</v>
      </c>
      <c r="M82" s="2" t="b">
        <f t="shared" si="49"/>
        <v>1</v>
      </c>
      <c r="N82" s="1" t="b">
        <f>TRUE</f>
        <v>1</v>
      </c>
      <c r="O82" s="2" t="b">
        <f t="shared" si="50"/>
        <v>1</v>
      </c>
      <c r="P82" s="1" t="b">
        <f>TRUE</f>
        <v>1</v>
      </c>
      <c r="R82" s="1" t="b">
        <f>FALSE</f>
        <v>0</v>
      </c>
      <c r="S82" s="2" t="b">
        <f t="shared" si="51"/>
        <v>1</v>
      </c>
      <c r="T82" s="1" t="b">
        <f>TRUE</f>
        <v>1</v>
      </c>
      <c r="U82" s="2" t="b">
        <f t="shared" si="52"/>
        <v>1</v>
      </c>
      <c r="V82" s="1" t="b">
        <f>TRUE</f>
        <v>1</v>
      </c>
    </row>
    <row r="83" spans="1:24" x14ac:dyDescent="0.3">
      <c r="F83" s="1" t="b">
        <f>FALSE</f>
        <v>0</v>
      </c>
      <c r="G83" s="2" t="b">
        <f t="shared" si="47"/>
        <v>1</v>
      </c>
      <c r="H83" s="1" t="b">
        <f>TRUE</f>
        <v>1</v>
      </c>
      <c r="I83" s="2" t="b">
        <f t="shared" si="48"/>
        <v>0</v>
      </c>
      <c r="J83" s="1" t="b">
        <f>FALSE</f>
        <v>0</v>
      </c>
      <c r="L83" s="1" t="b">
        <f>FALSE</f>
        <v>0</v>
      </c>
      <c r="M83" s="2" t="b">
        <f t="shared" si="49"/>
        <v>1</v>
      </c>
      <c r="N83" s="1" t="b">
        <f>TRUE</f>
        <v>1</v>
      </c>
      <c r="O83" s="2" t="b">
        <f t="shared" si="50"/>
        <v>0</v>
      </c>
      <c r="P83" s="1" t="b">
        <f>FALSE</f>
        <v>0</v>
      </c>
      <c r="R83" s="1" t="b">
        <f>FALSE</f>
        <v>0</v>
      </c>
      <c r="S83" s="2" t="b">
        <f t="shared" si="51"/>
        <v>1</v>
      </c>
      <c r="T83" s="1" t="b">
        <f>TRUE</f>
        <v>1</v>
      </c>
      <c r="U83" s="2" t="b">
        <f t="shared" si="52"/>
        <v>0</v>
      </c>
      <c r="V83" s="1" t="b">
        <f>FALSE</f>
        <v>0</v>
      </c>
    </row>
    <row r="84" spans="1:24" x14ac:dyDescent="0.3">
      <c r="F84" s="1" t="b">
        <f>FALSE</f>
        <v>0</v>
      </c>
      <c r="G84" s="2" t="b">
        <f t="shared" si="47"/>
        <v>1</v>
      </c>
      <c r="H84" s="1" t="b">
        <f>FALSE</f>
        <v>0</v>
      </c>
      <c r="I84" s="2" t="b">
        <f t="shared" si="48"/>
        <v>0</v>
      </c>
      <c r="J84" s="1" t="b">
        <f>TRUE</f>
        <v>1</v>
      </c>
      <c r="L84" s="1" t="b">
        <f>FALSE</f>
        <v>0</v>
      </c>
      <c r="M84" s="2" t="b">
        <f t="shared" si="49"/>
        <v>1</v>
      </c>
      <c r="N84" s="1" t="b">
        <f>FALSE</f>
        <v>0</v>
      </c>
      <c r="O84" s="2" t="b">
        <f t="shared" si="50"/>
        <v>0</v>
      </c>
      <c r="P84" s="1" t="b">
        <f>TRUE</f>
        <v>1</v>
      </c>
      <c r="R84" s="1" t="b">
        <f>FALSE</f>
        <v>0</v>
      </c>
      <c r="S84" s="2" t="b">
        <f t="shared" si="51"/>
        <v>1</v>
      </c>
      <c r="T84" s="1" t="b">
        <f>FALSE</f>
        <v>0</v>
      </c>
      <c r="U84" s="2" t="b">
        <f t="shared" si="52"/>
        <v>0</v>
      </c>
      <c r="V84" s="1" t="b">
        <f>TRUE</f>
        <v>1</v>
      </c>
    </row>
    <row r="85" spans="1:24" x14ac:dyDescent="0.3">
      <c r="F85" s="1" t="b">
        <f>FALSE</f>
        <v>0</v>
      </c>
      <c r="G85" s="2" t="b">
        <f t="shared" si="47"/>
        <v>1</v>
      </c>
      <c r="H85" s="1" t="b">
        <f>FALSE</f>
        <v>0</v>
      </c>
      <c r="I85" s="2" t="b">
        <f t="shared" si="48"/>
        <v>1</v>
      </c>
      <c r="J85" s="1" t="b">
        <f>FALSE</f>
        <v>0</v>
      </c>
      <c r="L85" s="1" t="b">
        <f>FALSE</f>
        <v>0</v>
      </c>
      <c r="M85" s="2" t="b">
        <f t="shared" si="49"/>
        <v>1</v>
      </c>
      <c r="N85" s="1" t="b">
        <f>FALSE</f>
        <v>0</v>
      </c>
      <c r="O85" s="2" t="b">
        <f t="shared" si="50"/>
        <v>1</v>
      </c>
      <c r="P85" s="1" t="b">
        <f>FALSE</f>
        <v>0</v>
      </c>
      <c r="R85" s="1" t="b">
        <f>FALSE</f>
        <v>0</v>
      </c>
      <c r="S85" s="2" t="b">
        <f t="shared" si="51"/>
        <v>1</v>
      </c>
      <c r="T85" s="1" t="b">
        <f>FALSE</f>
        <v>0</v>
      </c>
      <c r="U85" s="2" t="b">
        <f t="shared" si="52"/>
        <v>1</v>
      </c>
      <c r="V85" s="1" t="b">
        <f>FALSE</f>
        <v>0</v>
      </c>
    </row>
    <row r="86" spans="1:24" x14ac:dyDescent="0.3">
      <c r="I86" s="3" t="str">
        <f>IF(COUNTIF(I78:I85,TRUE)=COUNTA(I78:I85),"TAUTOLOGIA",IF(COUNTIF(I78:I85,FALSE)=COUNTA(I78:I85),"CONTRADICCION","REFUTABLE"))</f>
        <v>REFUTABLE</v>
      </c>
      <c r="O86" s="3" t="str">
        <f>IF(COUNTIF(O78:O85,TRUE)=COUNTA(O78:O85),"TAUTOLOGIA",IF(COUNTIF(O78:O85,FALSE)=COUNTA(O78:O85),"CONTRADICCION","REFUTABLE"))</f>
        <v>REFUTABLE</v>
      </c>
      <c r="U86" s="3" t="str">
        <f>IF(COUNTIF(U78:U85,TRUE)=COUNTA(U78:U85),"TAUTOLOGIA",IF(COUNTIF(U78:U85,FALSE)=COUNTA(U78:U85),"CONTRADICCION","REFUTABLE"))</f>
        <v>REFUTABLE</v>
      </c>
    </row>
    <row r="87" spans="1:24" x14ac:dyDescent="0.3">
      <c r="A87" t="s">
        <v>42</v>
      </c>
    </row>
    <row r="88" spans="1:24" x14ac:dyDescent="0.3">
      <c r="A88" t="s">
        <v>43</v>
      </c>
      <c r="H88" s="1" t="s">
        <v>8</v>
      </c>
      <c r="I88" s="2" t="s">
        <v>14</v>
      </c>
      <c r="J88" s="1" t="s">
        <v>10</v>
      </c>
      <c r="K88" s="2" t="s">
        <v>15</v>
      </c>
      <c r="L88" s="1" t="s">
        <v>12</v>
      </c>
      <c r="N88" s="1" t="s">
        <v>8</v>
      </c>
      <c r="O88" s="2" t="s">
        <v>14</v>
      </c>
      <c r="P88" s="1" t="s">
        <v>10</v>
      </c>
      <c r="Q88" s="2" t="s">
        <v>15</v>
      </c>
      <c r="R88" s="1" t="s">
        <v>12</v>
      </c>
      <c r="T88" s="10" t="s">
        <v>8</v>
      </c>
      <c r="U88" s="11" t="s">
        <v>14</v>
      </c>
      <c r="V88" s="10" t="s">
        <v>10</v>
      </c>
      <c r="W88" s="11" t="s">
        <v>15</v>
      </c>
      <c r="X88" s="10" t="s">
        <v>12</v>
      </c>
    </row>
    <row r="89" spans="1:24" x14ac:dyDescent="0.3">
      <c r="A89" t="s">
        <v>44</v>
      </c>
      <c r="H89" s="1" t="b">
        <f>TRUE</f>
        <v>1</v>
      </c>
      <c r="I89" s="2" t="b">
        <f>IF(H89,J89,FALSE)</f>
        <v>1</v>
      </c>
      <c r="J89" s="1" t="b">
        <f>TRUE</f>
        <v>1</v>
      </c>
      <c r="K89" s="2" t="b">
        <f>IF(J89,L89,TRUE)</f>
        <v>1</v>
      </c>
      <c r="L89" s="1" t="b">
        <f>TRUE</f>
        <v>1</v>
      </c>
      <c r="N89" s="1" t="b">
        <f>TRUE</f>
        <v>1</v>
      </c>
      <c r="O89" s="2" t="b">
        <f>IF(N89=FALSE,FALSE,P89)</f>
        <v>1</v>
      </c>
      <c r="P89" s="1" t="b">
        <f>TRUE</f>
        <v>1</v>
      </c>
      <c r="Q89" s="2" t="b">
        <f>IF(P89=FALSE,TRUE,R89)</f>
        <v>1</v>
      </c>
      <c r="R89" s="1" t="b">
        <f>TRUE</f>
        <v>1</v>
      </c>
      <c r="T89" s="10" t="b">
        <f>TRUE</f>
        <v>1</v>
      </c>
      <c r="U89" s="11" t="b">
        <f>IF(OR(T89=FALSE,V89=FALSE),FALSE,TRUE)</f>
        <v>1</v>
      </c>
      <c r="V89" s="10" t="b">
        <f>TRUE</f>
        <v>1</v>
      </c>
      <c r="W89" s="11" t="b">
        <f>IF(AND(V89,X89=FALSE),FALSE,TRUE)</f>
        <v>1</v>
      </c>
      <c r="X89" s="10" t="b">
        <f>TRUE</f>
        <v>1</v>
      </c>
    </row>
    <row r="90" spans="1:24" x14ac:dyDescent="0.3">
      <c r="A90" t="s">
        <v>45</v>
      </c>
      <c r="H90" s="1" t="b">
        <f>TRUE</f>
        <v>1</v>
      </c>
      <c r="I90" s="2" t="b">
        <f t="shared" ref="I90:I96" si="53">IF(H90,J90,FALSE)</f>
        <v>1</v>
      </c>
      <c r="J90" s="1" t="b">
        <f>TRUE</f>
        <v>1</v>
      </c>
      <c r="K90" s="2" t="b">
        <f t="shared" ref="K90:K96" si="54">IF(J90,L90,TRUE)</f>
        <v>0</v>
      </c>
      <c r="L90" s="1" t="b">
        <f>FALSE</f>
        <v>0</v>
      </c>
      <c r="N90" s="1" t="b">
        <f>TRUE</f>
        <v>1</v>
      </c>
      <c r="O90" s="2" t="b">
        <f t="shared" ref="O90:O96" si="55">IF(N90=FALSE,FALSE,P90)</f>
        <v>1</v>
      </c>
      <c r="P90" s="1" t="b">
        <f>TRUE</f>
        <v>1</v>
      </c>
      <c r="Q90" s="2" t="b">
        <f t="shared" ref="Q90:Q96" si="56">IF(P90=FALSE,TRUE,R90)</f>
        <v>0</v>
      </c>
      <c r="R90" s="1" t="b">
        <f>FALSE</f>
        <v>0</v>
      </c>
      <c r="T90" s="10" t="b">
        <f>TRUE</f>
        <v>1</v>
      </c>
      <c r="U90" s="11" t="b">
        <f t="shared" ref="U90:U96" si="57">IF(OR(T90=FALSE,V90=FALSE),FALSE,TRUE)</f>
        <v>1</v>
      </c>
      <c r="V90" s="10" t="b">
        <f>TRUE</f>
        <v>1</v>
      </c>
      <c r="W90" s="11" t="b">
        <f t="shared" ref="W90:W96" si="58">IF(AND(V90,X90=FALSE),FALSE,TRUE)</f>
        <v>0</v>
      </c>
      <c r="X90" s="10" t="b">
        <f>FALSE</f>
        <v>0</v>
      </c>
    </row>
    <row r="91" spans="1:24" x14ac:dyDescent="0.3">
      <c r="A91" t="s">
        <v>46</v>
      </c>
      <c r="H91" s="1" t="b">
        <f>TRUE</f>
        <v>1</v>
      </c>
      <c r="I91" s="2" t="b">
        <f t="shared" si="53"/>
        <v>0</v>
      </c>
      <c r="J91" s="1" t="b">
        <f>FALSE</f>
        <v>0</v>
      </c>
      <c r="K91" s="2" t="b">
        <f t="shared" si="54"/>
        <v>1</v>
      </c>
      <c r="L91" s="1" t="b">
        <f>TRUE</f>
        <v>1</v>
      </c>
      <c r="N91" s="1" t="b">
        <f>TRUE</f>
        <v>1</v>
      </c>
      <c r="O91" s="2" t="b">
        <f t="shared" si="55"/>
        <v>0</v>
      </c>
      <c r="P91" s="1" t="b">
        <f>FALSE</f>
        <v>0</v>
      </c>
      <c r="Q91" s="2" t="b">
        <f t="shared" si="56"/>
        <v>1</v>
      </c>
      <c r="R91" s="1" t="b">
        <f>TRUE</f>
        <v>1</v>
      </c>
      <c r="T91" s="10" t="b">
        <f>TRUE</f>
        <v>1</v>
      </c>
      <c r="U91" s="11" t="b">
        <f t="shared" si="57"/>
        <v>0</v>
      </c>
      <c r="V91" s="10" t="b">
        <f>FALSE</f>
        <v>0</v>
      </c>
      <c r="W91" s="11" t="b">
        <f t="shared" si="58"/>
        <v>1</v>
      </c>
      <c r="X91" s="10" t="b">
        <f>TRUE</f>
        <v>1</v>
      </c>
    </row>
    <row r="92" spans="1:24" x14ac:dyDescent="0.3">
      <c r="A92" t="s">
        <v>47</v>
      </c>
      <c r="H92" s="1" t="b">
        <f>TRUE</f>
        <v>1</v>
      </c>
      <c r="I92" s="2" t="b">
        <f t="shared" si="53"/>
        <v>0</v>
      </c>
      <c r="J92" s="1" t="b">
        <f>FALSE</f>
        <v>0</v>
      </c>
      <c r="K92" s="2" t="b">
        <f t="shared" si="54"/>
        <v>1</v>
      </c>
      <c r="L92" s="1" t="b">
        <f>FALSE</f>
        <v>0</v>
      </c>
      <c r="N92" s="1" t="b">
        <f>TRUE</f>
        <v>1</v>
      </c>
      <c r="O92" s="2" t="b">
        <f t="shared" si="55"/>
        <v>0</v>
      </c>
      <c r="P92" s="1" t="b">
        <f>FALSE</f>
        <v>0</v>
      </c>
      <c r="Q92" s="2" t="b">
        <f t="shared" si="56"/>
        <v>1</v>
      </c>
      <c r="R92" s="1" t="b">
        <f>FALSE</f>
        <v>0</v>
      </c>
      <c r="T92" s="10" t="b">
        <f>TRUE</f>
        <v>1</v>
      </c>
      <c r="U92" s="11" t="b">
        <f t="shared" si="57"/>
        <v>0</v>
      </c>
      <c r="V92" s="10" t="b">
        <f>FALSE</f>
        <v>0</v>
      </c>
      <c r="W92" s="11" t="b">
        <f t="shared" si="58"/>
        <v>1</v>
      </c>
      <c r="X92" s="10" t="b">
        <f>FALSE</f>
        <v>0</v>
      </c>
    </row>
    <row r="93" spans="1:24" x14ac:dyDescent="0.3">
      <c r="H93" s="1" t="b">
        <f>FALSE</f>
        <v>0</v>
      </c>
      <c r="I93" s="2" t="b">
        <f t="shared" si="53"/>
        <v>0</v>
      </c>
      <c r="J93" s="1" t="b">
        <f>TRUE</f>
        <v>1</v>
      </c>
      <c r="K93" s="2" t="b">
        <f t="shared" si="54"/>
        <v>1</v>
      </c>
      <c r="L93" s="1" t="b">
        <f>TRUE</f>
        <v>1</v>
      </c>
      <c r="N93" s="1" t="b">
        <f>FALSE</f>
        <v>0</v>
      </c>
      <c r="O93" s="2" t="b">
        <f t="shared" si="55"/>
        <v>0</v>
      </c>
      <c r="P93" s="1" t="b">
        <f>TRUE</f>
        <v>1</v>
      </c>
      <c r="Q93" s="2" t="b">
        <f t="shared" si="56"/>
        <v>1</v>
      </c>
      <c r="R93" s="1" t="b">
        <f>TRUE</f>
        <v>1</v>
      </c>
      <c r="T93" s="10" t="b">
        <f>FALSE</f>
        <v>0</v>
      </c>
      <c r="U93" s="11" t="b">
        <f t="shared" si="57"/>
        <v>0</v>
      </c>
      <c r="V93" s="10" t="b">
        <f>TRUE</f>
        <v>1</v>
      </c>
      <c r="W93" s="11" t="b">
        <f t="shared" si="58"/>
        <v>1</v>
      </c>
      <c r="X93" s="10" t="b">
        <f>TRUE</f>
        <v>1</v>
      </c>
    </row>
    <row r="94" spans="1:24" x14ac:dyDescent="0.3">
      <c r="H94" s="1" t="b">
        <f>FALSE</f>
        <v>0</v>
      </c>
      <c r="I94" s="2" t="b">
        <f t="shared" si="53"/>
        <v>0</v>
      </c>
      <c r="J94" s="1" t="b">
        <f>TRUE</f>
        <v>1</v>
      </c>
      <c r="K94" s="2" t="b">
        <f t="shared" si="54"/>
        <v>0</v>
      </c>
      <c r="L94" s="1" t="b">
        <f>FALSE</f>
        <v>0</v>
      </c>
      <c r="N94" s="1" t="b">
        <f>FALSE</f>
        <v>0</v>
      </c>
      <c r="O94" s="2" t="b">
        <f t="shared" si="55"/>
        <v>0</v>
      </c>
      <c r="P94" s="1" t="b">
        <f>TRUE</f>
        <v>1</v>
      </c>
      <c r="Q94" s="2" t="b">
        <f t="shared" si="56"/>
        <v>0</v>
      </c>
      <c r="R94" s="1" t="b">
        <f>FALSE</f>
        <v>0</v>
      </c>
      <c r="T94" s="10" t="b">
        <f>FALSE</f>
        <v>0</v>
      </c>
      <c r="U94" s="11" t="b">
        <f t="shared" si="57"/>
        <v>0</v>
      </c>
      <c r="V94" s="10" t="b">
        <f>TRUE</f>
        <v>1</v>
      </c>
      <c r="W94" s="11" t="b">
        <f t="shared" si="58"/>
        <v>0</v>
      </c>
      <c r="X94" s="10" t="b">
        <f>FALSE</f>
        <v>0</v>
      </c>
    </row>
    <row r="95" spans="1:24" x14ac:dyDescent="0.3">
      <c r="H95" s="1" t="b">
        <f>FALSE</f>
        <v>0</v>
      </c>
      <c r="I95" s="2" t="b">
        <f t="shared" si="53"/>
        <v>0</v>
      </c>
      <c r="J95" s="1" t="b">
        <f>FALSE</f>
        <v>0</v>
      </c>
      <c r="K95" s="2" t="b">
        <f t="shared" si="54"/>
        <v>1</v>
      </c>
      <c r="L95" s="1" t="b">
        <f>TRUE</f>
        <v>1</v>
      </c>
      <c r="N95" s="1" t="b">
        <f>FALSE</f>
        <v>0</v>
      </c>
      <c r="O95" s="2" t="b">
        <f t="shared" si="55"/>
        <v>0</v>
      </c>
      <c r="P95" s="1" t="b">
        <f>FALSE</f>
        <v>0</v>
      </c>
      <c r="Q95" s="2" t="b">
        <f t="shared" si="56"/>
        <v>1</v>
      </c>
      <c r="R95" s="1" t="b">
        <f>TRUE</f>
        <v>1</v>
      </c>
      <c r="T95" s="10" t="b">
        <f>FALSE</f>
        <v>0</v>
      </c>
      <c r="U95" s="11" t="b">
        <f t="shared" si="57"/>
        <v>0</v>
      </c>
      <c r="V95" s="10" t="b">
        <f>FALSE</f>
        <v>0</v>
      </c>
      <c r="W95" s="11" t="b">
        <f t="shared" si="58"/>
        <v>1</v>
      </c>
      <c r="X95" s="10" t="b">
        <f>TRUE</f>
        <v>1</v>
      </c>
    </row>
    <row r="96" spans="1:24" x14ac:dyDescent="0.3">
      <c r="H96" s="1" t="b">
        <f>FALSE</f>
        <v>0</v>
      </c>
      <c r="I96" s="2" t="b">
        <f t="shared" si="53"/>
        <v>0</v>
      </c>
      <c r="J96" s="1" t="b">
        <f>FALSE</f>
        <v>0</v>
      </c>
      <c r="K96" s="2" t="b">
        <f t="shared" si="54"/>
        <v>1</v>
      </c>
      <c r="L96" s="1" t="b">
        <f>FALSE</f>
        <v>0</v>
      </c>
      <c r="N96" s="1" t="b">
        <f>FALSE</f>
        <v>0</v>
      </c>
      <c r="O96" s="2" t="b">
        <f t="shared" si="55"/>
        <v>0</v>
      </c>
      <c r="P96" s="1" t="b">
        <f>FALSE</f>
        <v>0</v>
      </c>
      <c r="Q96" s="2" t="b">
        <f t="shared" si="56"/>
        <v>1</v>
      </c>
      <c r="R96" s="1" t="b">
        <f>FALSE</f>
        <v>0</v>
      </c>
      <c r="T96" s="10" t="b">
        <f>FALSE</f>
        <v>0</v>
      </c>
      <c r="U96" s="11" t="b">
        <f t="shared" si="57"/>
        <v>0</v>
      </c>
      <c r="V96" s="10" t="b">
        <f>FALSE</f>
        <v>0</v>
      </c>
      <c r="W96" s="11" t="b">
        <f t="shared" si="58"/>
        <v>1</v>
      </c>
      <c r="X96" s="10" t="b">
        <f>FALSE</f>
        <v>0</v>
      </c>
    </row>
    <row r="97" spans="1:27" x14ac:dyDescent="0.3">
      <c r="K97" s="3" t="str">
        <f>IF(COUNTIF(K89:K96,TRUE)=COUNTA(K89:K96),"TAUTOLOGIA",IF(COUNTIF(K89:K96,FALSE)=COUNTA(K89:K96),"CONTRADICCION","REFUTABLE"))</f>
        <v>REFUTABLE</v>
      </c>
      <c r="Q97" s="3" t="str">
        <f>IF(COUNTIF(Q89:Q96,TRUE)=COUNTA(Q89:Q96),"TAUTOLOGIA",IF(COUNTIF(Q89:Q96,FALSE)=COUNTA(Q89:Q96),"CONTRADICCION","REFUTABLE"))</f>
        <v>REFUTABLE</v>
      </c>
      <c r="W97" s="3" t="str">
        <f>IF(COUNTIF(W89:W96,TRUE)=COUNTA(W89:W96),"TAUTOLOGIA",IF(COUNTIF(W89:W96,FALSE)=COUNTA(W89:W96),"CONTRADICCION","REFUTABLE"))</f>
        <v>REFUTABLE</v>
      </c>
    </row>
    <row r="99" spans="1:27" x14ac:dyDescent="0.3">
      <c r="A99" t="s">
        <v>62</v>
      </c>
    </row>
    <row r="100" spans="1:27" x14ac:dyDescent="0.3">
      <c r="A100" t="s">
        <v>63</v>
      </c>
      <c r="E100" s="1" t="s">
        <v>8</v>
      </c>
      <c r="F100" s="2" t="s">
        <v>15</v>
      </c>
      <c r="G100" s="1" t="s">
        <v>10</v>
      </c>
      <c r="H100" s="2" t="s">
        <v>11</v>
      </c>
      <c r="I100" s="2" t="s">
        <v>54</v>
      </c>
      <c r="J100" s="2" t="s">
        <v>15</v>
      </c>
      <c r="K100" s="1" t="s">
        <v>12</v>
      </c>
      <c r="M100" s="1" t="s">
        <v>8</v>
      </c>
      <c r="N100" s="2" t="s">
        <v>15</v>
      </c>
      <c r="O100" s="1" t="s">
        <v>10</v>
      </c>
      <c r="P100" s="2" t="s">
        <v>11</v>
      </c>
      <c r="Q100" s="2" t="s">
        <v>54</v>
      </c>
      <c r="R100" s="2" t="s">
        <v>15</v>
      </c>
      <c r="S100" s="1" t="s">
        <v>12</v>
      </c>
      <c r="U100" s="1" t="s">
        <v>8</v>
      </c>
      <c r="V100" s="2" t="s">
        <v>15</v>
      </c>
      <c r="W100" s="1" t="s">
        <v>10</v>
      </c>
      <c r="X100" s="2" t="s">
        <v>11</v>
      </c>
      <c r="Y100" s="2" t="s">
        <v>54</v>
      </c>
      <c r="Z100" s="2" t="s">
        <v>15</v>
      </c>
      <c r="AA100" s="1" t="s">
        <v>12</v>
      </c>
    </row>
    <row r="101" spans="1:27" x14ac:dyDescent="0.3">
      <c r="A101" t="s">
        <v>48</v>
      </c>
      <c r="E101" s="1" t="b">
        <f>TRUE</f>
        <v>1</v>
      </c>
      <c r="F101" s="2" t="b">
        <f>IF(E101,G101,TRUE)</f>
        <v>1</v>
      </c>
      <c r="G101" s="1" t="b">
        <f>TRUE</f>
        <v>1</v>
      </c>
      <c r="H101" s="2" t="b">
        <f>IF(F101,TRUE,J101)</f>
        <v>1</v>
      </c>
      <c r="I101" s="2" t="b">
        <f>IF(E101,FALSE,TRUE)</f>
        <v>0</v>
      </c>
      <c r="J101" s="2" t="b">
        <f>IF(I101,K101,TRUE)</f>
        <v>1</v>
      </c>
      <c r="K101" s="1" t="b">
        <f>TRUE</f>
        <v>1</v>
      </c>
      <c r="M101" s="1" t="b">
        <f>TRUE</f>
        <v>1</v>
      </c>
      <c r="N101" s="2" t="b">
        <f>IF(M101,O101,TRUE)</f>
        <v>1</v>
      </c>
      <c r="O101" s="1" t="b">
        <f>TRUE</f>
        <v>1</v>
      </c>
      <c r="P101" s="2" t="b">
        <f>IF(N101,TRUE,R101)</f>
        <v>1</v>
      </c>
      <c r="Q101" s="2" t="b">
        <f>IF(M101,FALSE,TRUE)</f>
        <v>0</v>
      </c>
      <c r="R101" s="2" t="b">
        <f>IF(Q101,S101,TRUE)</f>
        <v>1</v>
      </c>
      <c r="S101" s="1" t="b">
        <f>TRUE</f>
        <v>1</v>
      </c>
      <c r="U101" s="1" t="b">
        <f>TRUE</f>
        <v>1</v>
      </c>
      <c r="V101" s="2" t="b">
        <f>IF(U101,W101,TRUE)</f>
        <v>1</v>
      </c>
      <c r="W101" s="1" t="b">
        <f>TRUE</f>
        <v>1</v>
      </c>
      <c r="X101" s="2" t="b">
        <f>IF(V101,TRUE,Z101)</f>
        <v>1</v>
      </c>
      <c r="Y101" s="2" t="b">
        <f>IF(U101,FALSE,TRUE)</f>
        <v>0</v>
      </c>
      <c r="Z101" s="2" t="b">
        <f>IF(Y101,AA101,TRUE)</f>
        <v>1</v>
      </c>
      <c r="AA101" s="1" t="b">
        <f>TRUE</f>
        <v>1</v>
      </c>
    </row>
    <row r="102" spans="1:27" x14ac:dyDescent="0.3">
      <c r="A102" t="s">
        <v>49</v>
      </c>
      <c r="E102" s="1" t="b">
        <f>TRUE</f>
        <v>1</v>
      </c>
      <c r="F102" s="2" t="b">
        <f t="shared" ref="F102:F108" si="59">IF(E102,G102,TRUE)</f>
        <v>1</v>
      </c>
      <c r="G102" s="1" t="b">
        <f>TRUE</f>
        <v>1</v>
      </c>
      <c r="H102" s="2" t="b">
        <f t="shared" ref="H102:H108" si="60">IF(F102,TRUE,J102)</f>
        <v>1</v>
      </c>
      <c r="I102" s="2" t="b">
        <f t="shared" ref="I102:I108" si="61">IF(E102,FALSE,TRUE)</f>
        <v>0</v>
      </c>
      <c r="J102" s="2" t="b">
        <f t="shared" ref="J102:J108" si="62">IF(I102,K102,TRUE)</f>
        <v>1</v>
      </c>
      <c r="K102" s="1" t="b">
        <f>FALSE</f>
        <v>0</v>
      </c>
      <c r="M102" s="1" t="b">
        <f>TRUE</f>
        <v>1</v>
      </c>
      <c r="N102" s="2" t="b">
        <f t="shared" ref="N102:N108" si="63">IF(M102,O102,TRUE)</f>
        <v>1</v>
      </c>
      <c r="O102" s="1" t="b">
        <f>TRUE</f>
        <v>1</v>
      </c>
      <c r="P102" s="2" t="b">
        <f t="shared" ref="P102:P108" si="64">IF(N102,TRUE,R102)</f>
        <v>1</v>
      </c>
      <c r="Q102" s="2" t="b">
        <f t="shared" ref="Q102:Q108" si="65">IF(M102,FALSE,TRUE)</f>
        <v>0</v>
      </c>
      <c r="R102" s="2" t="b">
        <f t="shared" ref="R102:R108" si="66">IF(Q102,S102,TRUE)</f>
        <v>1</v>
      </c>
      <c r="S102" s="1" t="b">
        <f>FALSE</f>
        <v>0</v>
      </c>
      <c r="U102" s="1" t="b">
        <f>TRUE</f>
        <v>1</v>
      </c>
      <c r="V102" s="2" t="b">
        <f t="shared" ref="V102:V108" si="67">IF(U102,W102,TRUE)</f>
        <v>1</v>
      </c>
      <c r="W102" s="1" t="b">
        <f>TRUE</f>
        <v>1</v>
      </c>
      <c r="X102" s="2" t="b">
        <f t="shared" ref="X102:X108" si="68">IF(V102,TRUE,Z102)</f>
        <v>1</v>
      </c>
      <c r="Y102" s="2" t="b">
        <f t="shared" ref="Y102:Y108" si="69">IF(U102,FALSE,TRUE)</f>
        <v>0</v>
      </c>
      <c r="Z102" s="2" t="b">
        <f t="shared" ref="Z102:Z108" si="70">IF(Y102,AA102,TRUE)</f>
        <v>1</v>
      </c>
      <c r="AA102" s="1" t="b">
        <f>FALSE</f>
        <v>0</v>
      </c>
    </row>
    <row r="103" spans="1:27" x14ac:dyDescent="0.3">
      <c r="A103" t="s">
        <v>50</v>
      </c>
      <c r="E103" s="1" t="b">
        <f>TRUE</f>
        <v>1</v>
      </c>
      <c r="F103" s="2" t="b">
        <f t="shared" si="59"/>
        <v>0</v>
      </c>
      <c r="G103" s="1" t="b">
        <f>FALSE</f>
        <v>0</v>
      </c>
      <c r="H103" s="2" t="b">
        <f t="shared" si="60"/>
        <v>1</v>
      </c>
      <c r="I103" s="2" t="b">
        <f t="shared" si="61"/>
        <v>0</v>
      </c>
      <c r="J103" s="2" t="b">
        <f t="shared" si="62"/>
        <v>1</v>
      </c>
      <c r="K103" s="1" t="b">
        <f>TRUE</f>
        <v>1</v>
      </c>
      <c r="M103" s="1" t="b">
        <f>TRUE</f>
        <v>1</v>
      </c>
      <c r="N103" s="2" t="b">
        <f t="shared" si="63"/>
        <v>0</v>
      </c>
      <c r="O103" s="1" t="b">
        <f>FALSE</f>
        <v>0</v>
      </c>
      <c r="P103" s="2" t="b">
        <f t="shared" si="64"/>
        <v>1</v>
      </c>
      <c r="Q103" s="2" t="b">
        <f t="shared" si="65"/>
        <v>0</v>
      </c>
      <c r="R103" s="2" t="b">
        <f t="shared" si="66"/>
        <v>1</v>
      </c>
      <c r="S103" s="1" t="b">
        <f>TRUE</f>
        <v>1</v>
      </c>
      <c r="U103" s="1" t="b">
        <f>TRUE</f>
        <v>1</v>
      </c>
      <c r="V103" s="2" t="b">
        <f t="shared" si="67"/>
        <v>0</v>
      </c>
      <c r="W103" s="1" t="b">
        <f>FALSE</f>
        <v>0</v>
      </c>
      <c r="X103" s="2" t="b">
        <f t="shared" si="68"/>
        <v>1</v>
      </c>
      <c r="Y103" s="2" t="b">
        <f t="shared" si="69"/>
        <v>0</v>
      </c>
      <c r="Z103" s="2" t="b">
        <f t="shared" si="70"/>
        <v>1</v>
      </c>
      <c r="AA103" s="1" t="b">
        <f>TRUE</f>
        <v>1</v>
      </c>
    </row>
    <row r="104" spans="1:27" x14ac:dyDescent="0.3">
      <c r="A104" t="s">
        <v>53</v>
      </c>
      <c r="E104" s="1" t="b">
        <f>TRUE</f>
        <v>1</v>
      </c>
      <c r="F104" s="2" t="b">
        <f t="shared" si="59"/>
        <v>0</v>
      </c>
      <c r="G104" s="1" t="b">
        <f>FALSE</f>
        <v>0</v>
      </c>
      <c r="H104" s="2" t="b">
        <f t="shared" si="60"/>
        <v>1</v>
      </c>
      <c r="I104" s="2" t="b">
        <f t="shared" si="61"/>
        <v>0</v>
      </c>
      <c r="J104" s="2" t="b">
        <f t="shared" si="62"/>
        <v>1</v>
      </c>
      <c r="K104" s="1" t="b">
        <f>FALSE</f>
        <v>0</v>
      </c>
      <c r="M104" s="1" t="b">
        <f>TRUE</f>
        <v>1</v>
      </c>
      <c r="N104" s="2" t="b">
        <f t="shared" si="63"/>
        <v>0</v>
      </c>
      <c r="O104" s="1" t="b">
        <f>FALSE</f>
        <v>0</v>
      </c>
      <c r="P104" s="2" t="b">
        <f t="shared" si="64"/>
        <v>1</v>
      </c>
      <c r="Q104" s="2" t="b">
        <f t="shared" si="65"/>
        <v>0</v>
      </c>
      <c r="R104" s="2" t="b">
        <f t="shared" si="66"/>
        <v>1</v>
      </c>
      <c r="S104" s="1" t="b">
        <f>FALSE</f>
        <v>0</v>
      </c>
      <c r="U104" s="1" t="b">
        <f>TRUE</f>
        <v>1</v>
      </c>
      <c r="V104" s="2" t="b">
        <f t="shared" si="67"/>
        <v>0</v>
      </c>
      <c r="W104" s="1" t="b">
        <f>FALSE</f>
        <v>0</v>
      </c>
      <c r="X104" s="2" t="b">
        <f t="shared" si="68"/>
        <v>1</v>
      </c>
      <c r="Y104" s="2" t="b">
        <f t="shared" si="69"/>
        <v>0</v>
      </c>
      <c r="Z104" s="2" t="b">
        <f t="shared" si="70"/>
        <v>1</v>
      </c>
      <c r="AA104" s="1" t="b">
        <f>FALSE</f>
        <v>0</v>
      </c>
    </row>
    <row r="105" spans="1:27" x14ac:dyDescent="0.3">
      <c r="E105" s="1" t="b">
        <f>FALSE</f>
        <v>0</v>
      </c>
      <c r="F105" s="2" t="b">
        <f t="shared" si="59"/>
        <v>1</v>
      </c>
      <c r="G105" s="1" t="b">
        <f>TRUE</f>
        <v>1</v>
      </c>
      <c r="H105" s="2" t="b">
        <f t="shared" si="60"/>
        <v>1</v>
      </c>
      <c r="I105" s="2" t="b">
        <f t="shared" si="61"/>
        <v>1</v>
      </c>
      <c r="J105" s="2" t="b">
        <f t="shared" si="62"/>
        <v>1</v>
      </c>
      <c r="K105" s="1" t="b">
        <f>TRUE</f>
        <v>1</v>
      </c>
      <c r="M105" s="1" t="b">
        <f>FALSE</f>
        <v>0</v>
      </c>
      <c r="N105" s="2" t="b">
        <f t="shared" si="63"/>
        <v>1</v>
      </c>
      <c r="O105" s="1" t="b">
        <f>TRUE</f>
        <v>1</v>
      </c>
      <c r="P105" s="2" t="b">
        <f t="shared" si="64"/>
        <v>1</v>
      </c>
      <c r="Q105" s="2" t="b">
        <f t="shared" si="65"/>
        <v>1</v>
      </c>
      <c r="R105" s="2" t="b">
        <f t="shared" si="66"/>
        <v>1</v>
      </c>
      <c r="S105" s="1" t="b">
        <f>TRUE</f>
        <v>1</v>
      </c>
      <c r="U105" s="1" t="b">
        <f>FALSE</f>
        <v>0</v>
      </c>
      <c r="V105" s="2" t="b">
        <f t="shared" si="67"/>
        <v>1</v>
      </c>
      <c r="W105" s="1" t="b">
        <f>TRUE</f>
        <v>1</v>
      </c>
      <c r="X105" s="2" t="b">
        <f t="shared" si="68"/>
        <v>1</v>
      </c>
      <c r="Y105" s="2" t="b">
        <f t="shared" si="69"/>
        <v>1</v>
      </c>
      <c r="Z105" s="2" t="b">
        <f t="shared" si="70"/>
        <v>1</v>
      </c>
      <c r="AA105" s="1" t="b">
        <f>TRUE</f>
        <v>1</v>
      </c>
    </row>
    <row r="106" spans="1:27" x14ac:dyDescent="0.3">
      <c r="E106" s="1" t="b">
        <f>FALSE</f>
        <v>0</v>
      </c>
      <c r="F106" s="2" t="b">
        <f t="shared" si="59"/>
        <v>1</v>
      </c>
      <c r="G106" s="1" t="b">
        <f>TRUE</f>
        <v>1</v>
      </c>
      <c r="H106" s="2" t="b">
        <f t="shared" si="60"/>
        <v>1</v>
      </c>
      <c r="I106" s="2" t="b">
        <f t="shared" si="61"/>
        <v>1</v>
      </c>
      <c r="J106" s="2" t="b">
        <f t="shared" si="62"/>
        <v>0</v>
      </c>
      <c r="K106" s="1" t="b">
        <f>FALSE</f>
        <v>0</v>
      </c>
      <c r="M106" s="1" t="b">
        <f>FALSE</f>
        <v>0</v>
      </c>
      <c r="N106" s="2" t="b">
        <f t="shared" si="63"/>
        <v>1</v>
      </c>
      <c r="O106" s="1" t="b">
        <f>TRUE</f>
        <v>1</v>
      </c>
      <c r="P106" s="2" t="b">
        <f t="shared" si="64"/>
        <v>1</v>
      </c>
      <c r="Q106" s="2" t="b">
        <f t="shared" si="65"/>
        <v>1</v>
      </c>
      <c r="R106" s="2" t="b">
        <f t="shared" si="66"/>
        <v>0</v>
      </c>
      <c r="S106" s="1" t="b">
        <f>FALSE</f>
        <v>0</v>
      </c>
      <c r="U106" s="1" t="b">
        <f>FALSE</f>
        <v>0</v>
      </c>
      <c r="V106" s="2" t="b">
        <f t="shared" si="67"/>
        <v>1</v>
      </c>
      <c r="W106" s="1" t="b">
        <f>TRUE</f>
        <v>1</v>
      </c>
      <c r="X106" s="2" t="b">
        <f t="shared" si="68"/>
        <v>1</v>
      </c>
      <c r="Y106" s="2" t="b">
        <f t="shared" si="69"/>
        <v>1</v>
      </c>
      <c r="Z106" s="2" t="b">
        <f t="shared" si="70"/>
        <v>0</v>
      </c>
      <c r="AA106" s="1" t="b">
        <f>FALSE</f>
        <v>0</v>
      </c>
    </row>
    <row r="107" spans="1:27" x14ac:dyDescent="0.3">
      <c r="E107" s="1" t="b">
        <f>FALSE</f>
        <v>0</v>
      </c>
      <c r="F107" s="2" t="b">
        <f t="shared" si="59"/>
        <v>1</v>
      </c>
      <c r="G107" s="1" t="b">
        <f>FALSE</f>
        <v>0</v>
      </c>
      <c r="H107" s="2" t="b">
        <f t="shared" si="60"/>
        <v>1</v>
      </c>
      <c r="I107" s="2" t="b">
        <f t="shared" si="61"/>
        <v>1</v>
      </c>
      <c r="J107" s="2" t="b">
        <f t="shared" si="62"/>
        <v>1</v>
      </c>
      <c r="K107" s="1" t="b">
        <f>TRUE</f>
        <v>1</v>
      </c>
      <c r="M107" s="1" t="b">
        <f>FALSE</f>
        <v>0</v>
      </c>
      <c r="N107" s="2" t="b">
        <f t="shared" si="63"/>
        <v>1</v>
      </c>
      <c r="O107" s="1" t="b">
        <f>FALSE</f>
        <v>0</v>
      </c>
      <c r="P107" s="2" t="b">
        <f t="shared" si="64"/>
        <v>1</v>
      </c>
      <c r="Q107" s="2" t="b">
        <f t="shared" si="65"/>
        <v>1</v>
      </c>
      <c r="R107" s="2" t="b">
        <f t="shared" si="66"/>
        <v>1</v>
      </c>
      <c r="S107" s="1" t="b">
        <f>TRUE</f>
        <v>1</v>
      </c>
      <c r="U107" s="1" t="b">
        <f>FALSE</f>
        <v>0</v>
      </c>
      <c r="V107" s="2" t="b">
        <f t="shared" si="67"/>
        <v>1</v>
      </c>
      <c r="W107" s="1" t="b">
        <f>FALSE</f>
        <v>0</v>
      </c>
      <c r="X107" s="2" t="b">
        <f t="shared" si="68"/>
        <v>1</v>
      </c>
      <c r="Y107" s="2" t="b">
        <f t="shared" si="69"/>
        <v>1</v>
      </c>
      <c r="Z107" s="2" t="b">
        <f t="shared" si="70"/>
        <v>1</v>
      </c>
      <c r="AA107" s="1" t="b">
        <f>TRUE</f>
        <v>1</v>
      </c>
    </row>
    <row r="108" spans="1:27" x14ac:dyDescent="0.3">
      <c r="E108" s="1" t="b">
        <f>FALSE</f>
        <v>0</v>
      </c>
      <c r="F108" s="2" t="b">
        <f t="shared" si="59"/>
        <v>1</v>
      </c>
      <c r="G108" s="1" t="b">
        <f>FALSE</f>
        <v>0</v>
      </c>
      <c r="H108" s="2" t="b">
        <f t="shared" si="60"/>
        <v>1</v>
      </c>
      <c r="I108" s="2" t="b">
        <f t="shared" si="61"/>
        <v>1</v>
      </c>
      <c r="J108" s="2" t="b">
        <f t="shared" si="62"/>
        <v>0</v>
      </c>
      <c r="K108" s="1" t="b">
        <f>FALSE</f>
        <v>0</v>
      </c>
      <c r="M108" s="1" t="b">
        <f>FALSE</f>
        <v>0</v>
      </c>
      <c r="N108" s="2" t="b">
        <f t="shared" si="63"/>
        <v>1</v>
      </c>
      <c r="O108" s="1" t="b">
        <f>FALSE</f>
        <v>0</v>
      </c>
      <c r="P108" s="2" t="b">
        <f t="shared" si="64"/>
        <v>1</v>
      </c>
      <c r="Q108" s="2" t="b">
        <f t="shared" si="65"/>
        <v>1</v>
      </c>
      <c r="R108" s="2" t="b">
        <f t="shared" si="66"/>
        <v>0</v>
      </c>
      <c r="S108" s="1" t="b">
        <f>FALSE</f>
        <v>0</v>
      </c>
      <c r="U108" s="1" t="b">
        <f>FALSE</f>
        <v>0</v>
      </c>
      <c r="V108" s="2" t="b">
        <f t="shared" si="67"/>
        <v>1</v>
      </c>
      <c r="W108" s="1" t="b">
        <f>FALSE</f>
        <v>0</v>
      </c>
      <c r="X108" s="2" t="b">
        <f t="shared" si="68"/>
        <v>1</v>
      </c>
      <c r="Y108" s="2" t="b">
        <f t="shared" si="69"/>
        <v>1</v>
      </c>
      <c r="Z108" s="2" t="b">
        <f t="shared" si="70"/>
        <v>0</v>
      </c>
      <c r="AA108" s="1" t="b">
        <f>FALSE</f>
        <v>0</v>
      </c>
    </row>
    <row r="109" spans="1:27" x14ac:dyDescent="0.3">
      <c r="H109" s="3" t="str">
        <f>IF(COUNTIF(H101:H108,TRUE)=COUNTA(H101:H108),"TAUTOLOGIA",IF(COUNTIF(H101:H108,FALSE)=COUNTA(H101:H108),"CONTRADICCION","REFUTABLE"))</f>
        <v>TAUTOLOGIA</v>
      </c>
      <c r="P109" s="3" t="str">
        <f>IF(COUNTIF(P101:P108,TRUE)=COUNTA(P101:P108),"TAUTOLOGIA",IF(COUNTIF(P101:P108,FALSE)=COUNTA(P101:P108),"CONTRADICCION","REFUTABLE"))</f>
        <v>TAUTOLOGIA</v>
      </c>
      <c r="X109" s="3" t="str">
        <f>IF(COUNTIF(X101:X108,TRUE)=COUNTA(X101:X108),"TAUTOLOGIA",IF(COUNTIF(X101:X108,FALSE)=COUNTA(X101:X108),"CONTRADICCION","REFUTABLE"))</f>
        <v>TAUTOLOGIA</v>
      </c>
    </row>
    <row r="110" spans="1:27" x14ac:dyDescent="0.3">
      <c r="A110" t="s">
        <v>51</v>
      </c>
    </row>
    <row r="111" spans="1:27" x14ac:dyDescent="0.3">
      <c r="A111" t="s">
        <v>52</v>
      </c>
    </row>
    <row r="112" spans="1:27" x14ac:dyDescent="0.3">
      <c r="A112" t="s">
        <v>59</v>
      </c>
    </row>
    <row r="113" spans="1:26" x14ac:dyDescent="0.3">
      <c r="A113" t="s">
        <v>64</v>
      </c>
    </row>
    <row r="114" spans="1:26" x14ac:dyDescent="0.3">
      <c r="A114" t="s">
        <v>60</v>
      </c>
      <c r="D114" s="1" t="s">
        <v>8</v>
      </c>
      <c r="E114" s="2" t="s">
        <v>14</v>
      </c>
      <c r="F114" s="1" t="s">
        <v>10</v>
      </c>
      <c r="G114" s="2" t="s">
        <v>11</v>
      </c>
      <c r="H114" s="2" t="s">
        <v>65</v>
      </c>
      <c r="I114" s="2" t="s">
        <v>14</v>
      </c>
      <c r="J114" s="1" t="s">
        <v>12</v>
      </c>
      <c r="L114" s="1" t="s">
        <v>8</v>
      </c>
      <c r="M114" s="2" t="s">
        <v>14</v>
      </c>
      <c r="N114" s="1" t="s">
        <v>10</v>
      </c>
      <c r="O114" s="2" t="s">
        <v>11</v>
      </c>
      <c r="P114" s="2" t="s">
        <v>65</v>
      </c>
      <c r="Q114" s="2" t="s">
        <v>14</v>
      </c>
      <c r="R114" s="1" t="s">
        <v>12</v>
      </c>
      <c r="T114" s="1" t="s">
        <v>8</v>
      </c>
      <c r="U114" s="2" t="s">
        <v>14</v>
      </c>
      <c r="V114" s="1" t="s">
        <v>10</v>
      </c>
      <c r="W114" s="2" t="s">
        <v>11</v>
      </c>
      <c r="X114" s="2" t="s">
        <v>65</v>
      </c>
      <c r="Y114" s="2" t="s">
        <v>14</v>
      </c>
      <c r="Z114" s="1" t="s">
        <v>12</v>
      </c>
    </row>
    <row r="115" spans="1:26" x14ac:dyDescent="0.3">
      <c r="A115" t="s">
        <v>61</v>
      </c>
      <c r="D115" s="1" t="b">
        <f>TRUE</f>
        <v>1</v>
      </c>
      <c r="E115" s="2" t="b">
        <f>IF(D115,F115,FALSE)</f>
        <v>1</v>
      </c>
      <c r="F115" s="1" t="b">
        <f>TRUE</f>
        <v>1</v>
      </c>
      <c r="G115" s="2" t="b">
        <f>IF(E115=FALSE,H115,TRUE)</f>
        <v>1</v>
      </c>
      <c r="H115" s="2" t="b">
        <f>IF(D115,FALSE,TRUE)</f>
        <v>0</v>
      </c>
      <c r="I115" s="2" t="b">
        <f>IF(H115,J115,FALSE)</f>
        <v>0</v>
      </c>
      <c r="J115" s="1" t="b">
        <f>TRUE</f>
        <v>1</v>
      </c>
      <c r="L115" s="1" t="b">
        <f>TRUE</f>
        <v>1</v>
      </c>
      <c r="M115" s="2" t="b">
        <f>IF(L115=FALSE,FALSE,N115)</f>
        <v>1</v>
      </c>
      <c r="N115" s="1" t="b">
        <f>TRUE</f>
        <v>1</v>
      </c>
      <c r="O115" s="2" t="b">
        <f>IF(M115=FALSE,P115,TRUE)</f>
        <v>1</v>
      </c>
      <c r="P115" s="2" t="b">
        <f>IF(L115,FALSE,TRUE)</f>
        <v>0</v>
      </c>
      <c r="Q115" s="2" t="b">
        <f>IF(P115=FALSE,FALSE,R115)</f>
        <v>0</v>
      </c>
      <c r="R115" s="1" t="b">
        <f>TRUE</f>
        <v>1</v>
      </c>
      <c r="T115" s="1" t="b">
        <f>TRUE</f>
        <v>1</v>
      </c>
      <c r="U115" s="11" t="b">
        <f>IF(OR(T115=FALSE,V115=FALSE),FALSE,TRUE)</f>
        <v>1</v>
      </c>
      <c r="V115" s="1" t="b">
        <f>TRUE</f>
        <v>1</v>
      </c>
      <c r="W115" s="2" t="b">
        <f>IF(U115=FALSE,X115,TRUE)</f>
        <v>1</v>
      </c>
      <c r="X115" s="2" t="b">
        <f>IF(T115,FALSE,TRUE)</f>
        <v>0</v>
      </c>
      <c r="Y115" s="11" t="b">
        <f>IF(OR(X115=FALSE,Z115=FALSE),FALSE,TRUE)</f>
        <v>0</v>
      </c>
      <c r="Z115" s="1" t="b">
        <f>TRUE</f>
        <v>1</v>
      </c>
    </row>
    <row r="116" spans="1:26" x14ac:dyDescent="0.3">
      <c r="D116" s="1" t="b">
        <f>TRUE</f>
        <v>1</v>
      </c>
      <c r="E116" s="2" t="b">
        <f t="shared" ref="E116:E122" si="71">IF(D116,F116,FALSE)</f>
        <v>1</v>
      </c>
      <c r="F116" s="1" t="b">
        <f>TRUE</f>
        <v>1</v>
      </c>
      <c r="G116" s="2" t="b">
        <f t="shared" ref="G116:G122" si="72">IF(E116=FALSE,H116,TRUE)</f>
        <v>1</v>
      </c>
      <c r="H116" s="2" t="b">
        <f t="shared" ref="H116:H122" si="73">IF(D116,FALSE,TRUE)</f>
        <v>0</v>
      </c>
      <c r="I116" s="2" t="b">
        <f t="shared" ref="I116:I122" si="74">IF(H116,J116,FALSE)</f>
        <v>0</v>
      </c>
      <c r="J116" s="1" t="b">
        <f>FALSE</f>
        <v>0</v>
      </c>
      <c r="L116" s="1" t="b">
        <f>TRUE</f>
        <v>1</v>
      </c>
      <c r="M116" s="2" t="b">
        <f t="shared" ref="M116:M122" si="75">IF(L116=FALSE,FALSE,N116)</f>
        <v>1</v>
      </c>
      <c r="N116" s="1" t="b">
        <f>TRUE</f>
        <v>1</v>
      </c>
      <c r="O116" s="2" t="b">
        <f t="shared" ref="O116:O122" si="76">IF(M116=FALSE,P116,TRUE)</f>
        <v>1</v>
      </c>
      <c r="P116" s="2" t="b">
        <f t="shared" ref="P116:P122" si="77">IF(L116,FALSE,TRUE)</f>
        <v>0</v>
      </c>
      <c r="Q116" s="2" t="b">
        <f t="shared" ref="Q116:Q122" si="78">IF(P116=FALSE,FALSE,R116)</f>
        <v>0</v>
      </c>
      <c r="R116" s="1" t="b">
        <f>FALSE</f>
        <v>0</v>
      </c>
      <c r="T116" s="1" t="b">
        <f>TRUE</f>
        <v>1</v>
      </c>
      <c r="U116" s="11" t="b">
        <f t="shared" ref="U116:U122" si="79">IF(OR(T116=FALSE,V116=FALSE),FALSE,TRUE)</f>
        <v>1</v>
      </c>
      <c r="V116" s="1" t="b">
        <f>TRUE</f>
        <v>1</v>
      </c>
      <c r="W116" s="2" t="b">
        <f t="shared" ref="W116:W122" si="80">IF(U116=FALSE,X116,TRUE)</f>
        <v>1</v>
      </c>
      <c r="X116" s="2" t="b">
        <f t="shared" ref="X116:X122" si="81">IF(T116,FALSE,TRUE)</f>
        <v>0</v>
      </c>
      <c r="Y116" s="11" t="b">
        <f t="shared" ref="Y116:Y122" si="82">IF(OR(X116=FALSE,Z116=FALSE),FALSE,TRUE)</f>
        <v>0</v>
      </c>
      <c r="Z116" s="1" t="b">
        <f>FALSE</f>
        <v>0</v>
      </c>
    </row>
    <row r="117" spans="1:26" x14ac:dyDescent="0.3">
      <c r="D117" s="1" t="b">
        <f>TRUE</f>
        <v>1</v>
      </c>
      <c r="E117" s="2" t="b">
        <f t="shared" si="71"/>
        <v>0</v>
      </c>
      <c r="F117" s="1" t="b">
        <f>FALSE</f>
        <v>0</v>
      </c>
      <c r="G117" s="2" t="b">
        <f t="shared" si="72"/>
        <v>0</v>
      </c>
      <c r="H117" s="2" t="b">
        <f t="shared" si="73"/>
        <v>0</v>
      </c>
      <c r="I117" s="2" t="b">
        <f t="shared" si="74"/>
        <v>0</v>
      </c>
      <c r="J117" s="1" t="b">
        <f>TRUE</f>
        <v>1</v>
      </c>
      <c r="L117" s="1" t="b">
        <f>TRUE</f>
        <v>1</v>
      </c>
      <c r="M117" s="2" t="b">
        <f t="shared" si="75"/>
        <v>0</v>
      </c>
      <c r="N117" s="1" t="b">
        <f>FALSE</f>
        <v>0</v>
      </c>
      <c r="O117" s="2" t="b">
        <f t="shared" si="76"/>
        <v>0</v>
      </c>
      <c r="P117" s="2" t="b">
        <f t="shared" si="77"/>
        <v>0</v>
      </c>
      <c r="Q117" s="2" t="b">
        <f t="shared" si="78"/>
        <v>0</v>
      </c>
      <c r="R117" s="1" t="b">
        <f>TRUE</f>
        <v>1</v>
      </c>
      <c r="T117" s="1" t="b">
        <f>TRUE</f>
        <v>1</v>
      </c>
      <c r="U117" s="11" t="b">
        <f t="shared" si="79"/>
        <v>0</v>
      </c>
      <c r="V117" s="1" t="b">
        <f>FALSE</f>
        <v>0</v>
      </c>
      <c r="W117" s="2" t="b">
        <f t="shared" si="80"/>
        <v>0</v>
      </c>
      <c r="X117" s="2" t="b">
        <f t="shared" si="81"/>
        <v>0</v>
      </c>
      <c r="Y117" s="11" t="b">
        <f t="shared" si="82"/>
        <v>0</v>
      </c>
      <c r="Z117" s="1" t="b">
        <f>TRUE</f>
        <v>1</v>
      </c>
    </row>
    <row r="118" spans="1:26" x14ac:dyDescent="0.3">
      <c r="D118" s="1" t="b">
        <f>TRUE</f>
        <v>1</v>
      </c>
      <c r="E118" s="2" t="b">
        <f t="shared" si="71"/>
        <v>0</v>
      </c>
      <c r="F118" s="1" t="b">
        <f>FALSE</f>
        <v>0</v>
      </c>
      <c r="G118" s="2" t="b">
        <f t="shared" si="72"/>
        <v>0</v>
      </c>
      <c r="H118" s="2" t="b">
        <f t="shared" si="73"/>
        <v>0</v>
      </c>
      <c r="I118" s="2" t="b">
        <f t="shared" si="74"/>
        <v>0</v>
      </c>
      <c r="J118" s="1" t="b">
        <f>FALSE</f>
        <v>0</v>
      </c>
      <c r="L118" s="1" t="b">
        <f>TRUE</f>
        <v>1</v>
      </c>
      <c r="M118" s="2" t="b">
        <f t="shared" si="75"/>
        <v>0</v>
      </c>
      <c r="N118" s="1" t="b">
        <f>FALSE</f>
        <v>0</v>
      </c>
      <c r="O118" s="2" t="b">
        <f t="shared" si="76"/>
        <v>0</v>
      </c>
      <c r="P118" s="2" t="b">
        <f t="shared" si="77"/>
        <v>0</v>
      </c>
      <c r="Q118" s="2" t="b">
        <f t="shared" si="78"/>
        <v>0</v>
      </c>
      <c r="R118" s="1" t="b">
        <f>FALSE</f>
        <v>0</v>
      </c>
      <c r="T118" s="1" t="b">
        <f>TRUE</f>
        <v>1</v>
      </c>
      <c r="U118" s="11" t="b">
        <f t="shared" si="79"/>
        <v>0</v>
      </c>
      <c r="V118" s="1" t="b">
        <f>FALSE</f>
        <v>0</v>
      </c>
      <c r="W118" s="2" t="b">
        <f t="shared" si="80"/>
        <v>0</v>
      </c>
      <c r="X118" s="2" t="b">
        <f t="shared" si="81"/>
        <v>0</v>
      </c>
      <c r="Y118" s="11" t="b">
        <f t="shared" si="82"/>
        <v>0</v>
      </c>
      <c r="Z118" s="1" t="b">
        <f>FALSE</f>
        <v>0</v>
      </c>
    </row>
    <row r="119" spans="1:26" x14ac:dyDescent="0.3">
      <c r="D119" s="1" t="b">
        <f>FALSE</f>
        <v>0</v>
      </c>
      <c r="E119" s="2" t="b">
        <f t="shared" si="71"/>
        <v>0</v>
      </c>
      <c r="F119" s="1" t="b">
        <f>TRUE</f>
        <v>1</v>
      </c>
      <c r="G119" s="2" t="b">
        <f t="shared" si="72"/>
        <v>1</v>
      </c>
      <c r="H119" s="2" t="b">
        <f t="shared" si="73"/>
        <v>1</v>
      </c>
      <c r="I119" s="2" t="b">
        <f t="shared" si="74"/>
        <v>1</v>
      </c>
      <c r="J119" s="1" t="b">
        <f>TRUE</f>
        <v>1</v>
      </c>
      <c r="L119" s="1" t="b">
        <f>FALSE</f>
        <v>0</v>
      </c>
      <c r="M119" s="2" t="b">
        <f t="shared" si="75"/>
        <v>0</v>
      </c>
      <c r="N119" s="1" t="b">
        <f>TRUE</f>
        <v>1</v>
      </c>
      <c r="O119" s="2" t="b">
        <f t="shared" si="76"/>
        <v>1</v>
      </c>
      <c r="P119" s="2" t="b">
        <f t="shared" si="77"/>
        <v>1</v>
      </c>
      <c r="Q119" s="2" t="b">
        <f t="shared" si="78"/>
        <v>1</v>
      </c>
      <c r="R119" s="1" t="b">
        <f>TRUE</f>
        <v>1</v>
      </c>
      <c r="T119" s="1" t="b">
        <f>FALSE</f>
        <v>0</v>
      </c>
      <c r="U119" s="11" t="b">
        <f t="shared" si="79"/>
        <v>0</v>
      </c>
      <c r="V119" s="1" t="b">
        <f>TRUE</f>
        <v>1</v>
      </c>
      <c r="W119" s="2" t="b">
        <f t="shared" si="80"/>
        <v>1</v>
      </c>
      <c r="X119" s="2" t="b">
        <f t="shared" si="81"/>
        <v>1</v>
      </c>
      <c r="Y119" s="11" t="b">
        <f t="shared" si="82"/>
        <v>1</v>
      </c>
      <c r="Z119" s="1" t="b">
        <f>TRUE</f>
        <v>1</v>
      </c>
    </row>
    <row r="120" spans="1:26" x14ac:dyDescent="0.3">
      <c r="D120" s="1" t="b">
        <f>FALSE</f>
        <v>0</v>
      </c>
      <c r="E120" s="2" t="b">
        <f t="shared" si="71"/>
        <v>0</v>
      </c>
      <c r="F120" s="1" t="b">
        <f>TRUE</f>
        <v>1</v>
      </c>
      <c r="G120" s="2" t="b">
        <f t="shared" si="72"/>
        <v>1</v>
      </c>
      <c r="H120" s="2" t="b">
        <f t="shared" si="73"/>
        <v>1</v>
      </c>
      <c r="I120" s="2" t="b">
        <f t="shared" si="74"/>
        <v>0</v>
      </c>
      <c r="J120" s="1" t="b">
        <f>FALSE</f>
        <v>0</v>
      </c>
      <c r="L120" s="1" t="b">
        <f>FALSE</f>
        <v>0</v>
      </c>
      <c r="M120" s="2" t="b">
        <f t="shared" si="75"/>
        <v>0</v>
      </c>
      <c r="N120" s="1" t="b">
        <f>TRUE</f>
        <v>1</v>
      </c>
      <c r="O120" s="2" t="b">
        <f t="shared" si="76"/>
        <v>1</v>
      </c>
      <c r="P120" s="2" t="b">
        <f t="shared" si="77"/>
        <v>1</v>
      </c>
      <c r="Q120" s="2" t="b">
        <f t="shared" si="78"/>
        <v>0</v>
      </c>
      <c r="R120" s="1" t="b">
        <f>FALSE</f>
        <v>0</v>
      </c>
      <c r="T120" s="1" t="b">
        <f>FALSE</f>
        <v>0</v>
      </c>
      <c r="U120" s="11" t="b">
        <f t="shared" si="79"/>
        <v>0</v>
      </c>
      <c r="V120" s="1" t="b">
        <f>TRUE</f>
        <v>1</v>
      </c>
      <c r="W120" s="2" t="b">
        <f t="shared" si="80"/>
        <v>1</v>
      </c>
      <c r="X120" s="2" t="b">
        <f t="shared" si="81"/>
        <v>1</v>
      </c>
      <c r="Y120" s="11" t="b">
        <f t="shared" si="82"/>
        <v>0</v>
      </c>
      <c r="Z120" s="1" t="b">
        <f>FALSE</f>
        <v>0</v>
      </c>
    </row>
    <row r="121" spans="1:26" x14ac:dyDescent="0.3">
      <c r="D121" s="1" t="b">
        <f>FALSE</f>
        <v>0</v>
      </c>
      <c r="E121" s="2" t="b">
        <f t="shared" si="71"/>
        <v>0</v>
      </c>
      <c r="F121" s="1" t="b">
        <f>FALSE</f>
        <v>0</v>
      </c>
      <c r="G121" s="2" t="b">
        <f t="shared" si="72"/>
        <v>1</v>
      </c>
      <c r="H121" s="2" t="b">
        <f t="shared" si="73"/>
        <v>1</v>
      </c>
      <c r="I121" s="2" t="b">
        <f t="shared" si="74"/>
        <v>1</v>
      </c>
      <c r="J121" s="1" t="b">
        <f>TRUE</f>
        <v>1</v>
      </c>
      <c r="L121" s="1" t="b">
        <f>FALSE</f>
        <v>0</v>
      </c>
      <c r="M121" s="2" t="b">
        <f t="shared" si="75"/>
        <v>0</v>
      </c>
      <c r="N121" s="1" t="b">
        <f>FALSE</f>
        <v>0</v>
      </c>
      <c r="O121" s="2" t="b">
        <f t="shared" si="76"/>
        <v>1</v>
      </c>
      <c r="P121" s="2" t="b">
        <f t="shared" si="77"/>
        <v>1</v>
      </c>
      <c r="Q121" s="2" t="b">
        <f t="shared" si="78"/>
        <v>1</v>
      </c>
      <c r="R121" s="1" t="b">
        <f>TRUE</f>
        <v>1</v>
      </c>
      <c r="T121" s="1" t="b">
        <f>FALSE</f>
        <v>0</v>
      </c>
      <c r="U121" s="11" t="b">
        <f t="shared" si="79"/>
        <v>0</v>
      </c>
      <c r="V121" s="1" t="b">
        <f>FALSE</f>
        <v>0</v>
      </c>
      <c r="W121" s="2" t="b">
        <f t="shared" si="80"/>
        <v>1</v>
      </c>
      <c r="X121" s="2" t="b">
        <f t="shared" si="81"/>
        <v>1</v>
      </c>
      <c r="Y121" s="11" t="b">
        <f t="shared" si="82"/>
        <v>1</v>
      </c>
      <c r="Z121" s="1" t="b">
        <f>TRUE</f>
        <v>1</v>
      </c>
    </row>
    <row r="122" spans="1:26" x14ac:dyDescent="0.3">
      <c r="D122" s="1" t="b">
        <f>FALSE</f>
        <v>0</v>
      </c>
      <c r="E122" s="2" t="b">
        <f t="shared" si="71"/>
        <v>0</v>
      </c>
      <c r="F122" s="1" t="b">
        <f>FALSE</f>
        <v>0</v>
      </c>
      <c r="G122" s="2" t="b">
        <f t="shared" si="72"/>
        <v>1</v>
      </c>
      <c r="H122" s="2" t="b">
        <f t="shared" si="73"/>
        <v>1</v>
      </c>
      <c r="I122" s="2" t="b">
        <f t="shared" si="74"/>
        <v>0</v>
      </c>
      <c r="J122" s="1" t="b">
        <f>FALSE</f>
        <v>0</v>
      </c>
      <c r="L122" s="1" t="b">
        <f>FALSE</f>
        <v>0</v>
      </c>
      <c r="M122" s="2" t="b">
        <f t="shared" si="75"/>
        <v>0</v>
      </c>
      <c r="N122" s="1" t="b">
        <f>FALSE</f>
        <v>0</v>
      </c>
      <c r="O122" s="2" t="b">
        <f t="shared" si="76"/>
        <v>1</v>
      </c>
      <c r="P122" s="2" t="b">
        <f t="shared" si="77"/>
        <v>1</v>
      </c>
      <c r="Q122" s="2" t="b">
        <f t="shared" si="78"/>
        <v>0</v>
      </c>
      <c r="R122" s="1" t="b">
        <f>FALSE</f>
        <v>0</v>
      </c>
      <c r="T122" s="1" t="b">
        <f>FALSE</f>
        <v>0</v>
      </c>
      <c r="U122" s="11" t="b">
        <f t="shared" si="79"/>
        <v>0</v>
      </c>
      <c r="V122" s="1" t="b">
        <f>FALSE</f>
        <v>0</v>
      </c>
      <c r="W122" s="2" t="b">
        <f t="shared" si="80"/>
        <v>1</v>
      </c>
      <c r="X122" s="2" t="b">
        <f t="shared" si="81"/>
        <v>1</v>
      </c>
      <c r="Y122" s="11" t="b">
        <f t="shared" si="82"/>
        <v>0</v>
      </c>
      <c r="Z122" s="1" t="b">
        <f>FALSE</f>
        <v>0</v>
      </c>
    </row>
    <row r="123" spans="1:26" x14ac:dyDescent="0.3">
      <c r="E123" s="3" t="str">
        <f>IF(COUNTIF(E115:E122,TRUE)=COUNTA(E115:E122),"TAUTOLOGIA",IF(COUNTIF(E115:E122,FALSE)=COUNTA(E115:E122),"CONTRADICCION","REFUTABLE"))</f>
        <v>REFUTABLE</v>
      </c>
      <c r="M123" s="3" t="str">
        <f>IF(COUNTIF(M115:M122,TRUE)=COUNTA(M115:M122),"TAUTOLOGIA",IF(COUNTIF(M115:M122,FALSE)=COUNTA(M115:M122),"CONTRADICCION","REFUTABLE"))</f>
        <v>REFUTABLE</v>
      </c>
      <c r="U123" s="3" t="str">
        <f>IF(COUNTIF(U115:U122,TRUE)=COUNTA(U115:U122),"TAUTOLOGIA",IF(COUNTIF(U115:U122,FALSE)=COUNTA(U115:U122),"CONTRADICCION","REFUTABLE"))</f>
        <v>REFUTABLE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Ambrogio</dc:creator>
  <cp:lastModifiedBy>Francisco Ambrogio</cp:lastModifiedBy>
  <cp:lastPrinted>2024-04-10T22:46:24Z</cp:lastPrinted>
  <dcterms:created xsi:type="dcterms:W3CDTF">2015-06-05T18:19:34Z</dcterms:created>
  <dcterms:modified xsi:type="dcterms:W3CDTF">2024-04-17T22:54:53Z</dcterms:modified>
</cp:coreProperties>
</file>