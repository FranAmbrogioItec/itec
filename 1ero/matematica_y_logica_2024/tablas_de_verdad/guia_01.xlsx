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franc\OneDrive\Documentos\itec_desarollo_de_software\matematica_y_logica_2024\tablas_de_verdad\"/>
    </mc:Choice>
  </mc:AlternateContent>
  <xr:revisionPtr revIDLastSave="0" documentId="13_ncr:1_{E989DB34-074C-4E9D-A273-62D0E6AC105A}" xr6:coauthVersionLast="47" xr6:coauthVersionMax="47" xr10:uidLastSave="{00000000-0000-0000-0000-000000000000}"/>
  <bookViews>
    <workbookView xWindow="-108" yWindow="-108" windowWidth="23256" windowHeight="12576" activeTab="5" xr2:uid="{00000000-000D-0000-FFFF-FFFF00000000}"/>
  </bookViews>
  <sheets>
    <sheet name="Hoja1" sheetId="1" r:id="rId1"/>
    <sheet name="Hoja2" sheetId="2" r:id="rId2"/>
    <sheet name="primerparcial2020" sheetId="3" r:id="rId3"/>
    <sheet name="ExamenM1T12023" sheetId="4" r:id="rId4"/>
    <sheet name="ExamenM1T22023" sheetId="5" r:id="rId5"/>
    <sheet name="ExamenM2T22023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7" i="6" l="1"/>
  <c r="F17" i="6" s="1"/>
  <c r="F18" i="6"/>
  <c r="F19" i="6"/>
  <c r="F20" i="6"/>
  <c r="F21" i="6"/>
  <c r="F22" i="6"/>
  <c r="F23" i="6"/>
  <c r="F24" i="6"/>
  <c r="H18" i="6"/>
  <c r="H19" i="6"/>
  <c r="H20" i="6"/>
  <c r="H21" i="6"/>
  <c r="H22" i="6"/>
  <c r="H23" i="6"/>
  <c r="H24" i="6"/>
  <c r="D18" i="6"/>
  <c r="D19" i="6"/>
  <c r="D20" i="6"/>
  <c r="D21" i="6"/>
  <c r="D22" i="6"/>
  <c r="D23" i="6"/>
  <c r="D24" i="6"/>
  <c r="D17" i="6"/>
  <c r="I24" i="6"/>
  <c r="I23" i="6"/>
  <c r="I22" i="6"/>
  <c r="I21" i="6"/>
  <c r="I20" i="6"/>
  <c r="I19" i="6"/>
  <c r="I18" i="6"/>
  <c r="I17" i="6"/>
  <c r="G24" i="6"/>
  <c r="E24" i="6"/>
  <c r="C24" i="6"/>
  <c r="G23" i="6"/>
  <c r="E23" i="6"/>
  <c r="C23" i="6"/>
  <c r="G22" i="6"/>
  <c r="E22" i="6"/>
  <c r="C22" i="6"/>
  <c r="G21" i="6"/>
  <c r="E21" i="6"/>
  <c r="C21" i="6"/>
  <c r="G20" i="6"/>
  <c r="E20" i="6"/>
  <c r="C20" i="6"/>
  <c r="G19" i="6"/>
  <c r="E19" i="6"/>
  <c r="C19" i="6"/>
  <c r="G18" i="6"/>
  <c r="E18" i="6"/>
  <c r="C18" i="6"/>
  <c r="G17" i="6"/>
  <c r="E17" i="6"/>
  <c r="C17" i="6"/>
  <c r="C8" i="6"/>
  <c r="C9" i="6"/>
  <c r="G8" i="6"/>
  <c r="E8" i="6" s="1"/>
  <c r="G9" i="6"/>
  <c r="G10" i="6"/>
  <c r="G11" i="6"/>
  <c r="G12" i="6"/>
  <c r="G5" i="6"/>
  <c r="E5" i="6" s="1"/>
  <c r="F12" i="6"/>
  <c r="F11" i="6"/>
  <c r="F10" i="6"/>
  <c r="F9" i="6"/>
  <c r="F8" i="6"/>
  <c r="F7" i="6"/>
  <c r="G7" i="6" s="1"/>
  <c r="F6" i="6"/>
  <c r="G6" i="6" s="1"/>
  <c r="F5" i="6"/>
  <c r="D12" i="6"/>
  <c r="E12" i="6" s="1"/>
  <c r="D11" i="6"/>
  <c r="E11" i="6" s="1"/>
  <c r="D10" i="6"/>
  <c r="E10" i="6" s="1"/>
  <c r="D9" i="6"/>
  <c r="E9" i="6" s="1"/>
  <c r="D8" i="6"/>
  <c r="D7" i="6"/>
  <c r="E7" i="6" s="1"/>
  <c r="D6" i="6"/>
  <c r="E6" i="6" s="1"/>
  <c r="D5" i="6"/>
  <c r="B12" i="6"/>
  <c r="C12" i="6" s="1"/>
  <c r="B11" i="6"/>
  <c r="C11" i="6" s="1"/>
  <c r="B10" i="6"/>
  <c r="C10" i="6" s="1"/>
  <c r="B9" i="6"/>
  <c r="B8" i="6"/>
  <c r="B7" i="6"/>
  <c r="C7" i="6" s="1"/>
  <c r="B6" i="6"/>
  <c r="C6" i="6" s="1"/>
  <c r="B5" i="6"/>
  <c r="C5" i="6" s="1"/>
  <c r="G19" i="5"/>
  <c r="G20" i="5"/>
  <c r="G21" i="5"/>
  <c r="G22" i="5"/>
  <c r="G23" i="5"/>
  <c r="G24" i="5"/>
  <c r="G25" i="5"/>
  <c r="G18" i="5"/>
  <c r="I19" i="5"/>
  <c r="I20" i="5"/>
  <c r="I21" i="5"/>
  <c r="I22" i="5"/>
  <c r="I23" i="5"/>
  <c r="I24" i="5"/>
  <c r="I25" i="5"/>
  <c r="I18" i="5"/>
  <c r="D19" i="5"/>
  <c r="D20" i="5"/>
  <c r="D21" i="5"/>
  <c r="D22" i="5"/>
  <c r="D23" i="5"/>
  <c r="D24" i="5"/>
  <c r="D25" i="5"/>
  <c r="D18" i="5"/>
  <c r="F19" i="5"/>
  <c r="F20" i="5"/>
  <c r="F21" i="5"/>
  <c r="F22" i="5"/>
  <c r="F23" i="5"/>
  <c r="F24" i="5"/>
  <c r="F25" i="5"/>
  <c r="F18" i="5"/>
  <c r="J25" i="5"/>
  <c r="J24" i="5"/>
  <c r="J23" i="5"/>
  <c r="J22" i="5"/>
  <c r="J21" i="5"/>
  <c r="J20" i="5"/>
  <c r="J19" i="5"/>
  <c r="J18" i="5"/>
  <c r="H25" i="5"/>
  <c r="H24" i="5"/>
  <c r="H23" i="5"/>
  <c r="H22" i="5"/>
  <c r="H21" i="5"/>
  <c r="H20" i="5"/>
  <c r="H19" i="5"/>
  <c r="H18" i="5"/>
  <c r="E25" i="5"/>
  <c r="E24" i="5"/>
  <c r="E23" i="5"/>
  <c r="E22" i="5"/>
  <c r="E21" i="5"/>
  <c r="E20" i="5"/>
  <c r="E19" i="5"/>
  <c r="E18" i="5"/>
  <c r="C25" i="5"/>
  <c r="C24" i="5"/>
  <c r="C23" i="5"/>
  <c r="C22" i="5"/>
  <c r="C21" i="5"/>
  <c r="C20" i="5"/>
  <c r="C19" i="5"/>
  <c r="C18" i="5"/>
  <c r="G12" i="5"/>
  <c r="H12" i="5" s="1"/>
  <c r="G11" i="5"/>
  <c r="H11" i="5" s="1"/>
  <c r="G10" i="5"/>
  <c r="H10" i="5" s="1"/>
  <c r="G9" i="5"/>
  <c r="H9" i="5" s="1"/>
  <c r="G8" i="5"/>
  <c r="H8" i="5" s="1"/>
  <c r="G7" i="5"/>
  <c r="H7" i="5" s="1"/>
  <c r="G6" i="5"/>
  <c r="H6" i="5" s="1"/>
  <c r="G5" i="5"/>
  <c r="H5" i="5" s="1"/>
  <c r="C10" i="5"/>
  <c r="C9" i="5"/>
  <c r="C8" i="5"/>
  <c r="D8" i="5" s="1"/>
  <c r="C7" i="5"/>
  <c r="D7" i="5" s="1"/>
  <c r="E12" i="5"/>
  <c r="E11" i="5"/>
  <c r="E10" i="5"/>
  <c r="F10" i="5" s="1"/>
  <c r="E9" i="5"/>
  <c r="F9" i="5" s="1"/>
  <c r="E8" i="5"/>
  <c r="F8" i="5" s="1"/>
  <c r="E7" i="5"/>
  <c r="F7" i="5" s="1"/>
  <c r="E6" i="5"/>
  <c r="E5" i="5"/>
  <c r="F5" i="5" s="1"/>
  <c r="C12" i="5"/>
  <c r="C11" i="5"/>
  <c r="C6" i="5"/>
  <c r="D6" i="5" s="1"/>
  <c r="C5" i="5"/>
  <c r="D5" i="5" s="1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18" i="4"/>
  <c r="I18" i="4"/>
  <c r="J18" i="4" s="1"/>
  <c r="I19" i="4"/>
  <c r="J19" i="4" s="1"/>
  <c r="I20" i="4"/>
  <c r="J20" i="4"/>
  <c r="I21" i="4"/>
  <c r="J21" i="4"/>
  <c r="I22" i="4"/>
  <c r="J22" i="4"/>
  <c r="I23" i="4"/>
  <c r="J23" i="4"/>
  <c r="I24" i="4"/>
  <c r="J24" i="4"/>
  <c r="I25" i="4"/>
  <c r="J25" i="4" s="1"/>
  <c r="I26" i="4"/>
  <c r="J26" i="4"/>
  <c r="I27" i="4"/>
  <c r="J27" i="4"/>
  <c r="I28" i="4"/>
  <c r="J28" i="4"/>
  <c r="I29" i="4"/>
  <c r="J29" i="4"/>
  <c r="I30" i="4"/>
  <c r="J30" i="4"/>
  <c r="I31" i="4"/>
  <c r="J31" i="4" s="1"/>
  <c r="I32" i="4"/>
  <c r="J32" i="4"/>
  <c r="I33" i="4"/>
  <c r="J33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18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C29" i="4"/>
  <c r="C28" i="4"/>
  <c r="C27" i="4"/>
  <c r="C26" i="4"/>
  <c r="C25" i="4"/>
  <c r="C24" i="4"/>
  <c r="C23" i="4"/>
  <c r="C22" i="4"/>
  <c r="C33" i="4"/>
  <c r="C32" i="4"/>
  <c r="C31" i="4"/>
  <c r="C30" i="4"/>
  <c r="C21" i="4"/>
  <c r="C20" i="4"/>
  <c r="C19" i="4"/>
  <c r="C18" i="4"/>
  <c r="F5" i="4"/>
  <c r="F6" i="4"/>
  <c r="F7" i="4"/>
  <c r="F8" i="4"/>
  <c r="F9" i="4"/>
  <c r="F10" i="4"/>
  <c r="F11" i="4"/>
  <c r="F4" i="4"/>
  <c r="D5" i="4"/>
  <c r="D6" i="4"/>
  <c r="D7" i="4"/>
  <c r="D8" i="4"/>
  <c r="D9" i="4"/>
  <c r="D10" i="4"/>
  <c r="D11" i="4"/>
  <c r="D4" i="4"/>
  <c r="G11" i="4"/>
  <c r="G10" i="4"/>
  <c r="G9" i="4"/>
  <c r="G8" i="4"/>
  <c r="G7" i="4"/>
  <c r="G6" i="4"/>
  <c r="G5" i="4"/>
  <c r="G4" i="4"/>
  <c r="E11" i="4"/>
  <c r="E10" i="4"/>
  <c r="E9" i="4"/>
  <c r="E8" i="4"/>
  <c r="E7" i="4"/>
  <c r="E6" i="4"/>
  <c r="E5" i="4"/>
  <c r="E4" i="4"/>
  <c r="C11" i="4"/>
  <c r="C10" i="4"/>
  <c r="C9" i="4"/>
  <c r="C8" i="4"/>
  <c r="C7" i="4"/>
  <c r="C6" i="4"/>
  <c r="C5" i="4"/>
  <c r="C4" i="4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28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6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29" i="3"/>
  <c r="H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28" i="3"/>
  <c r="I43" i="3"/>
  <c r="J43" i="3" s="1"/>
  <c r="G43" i="3"/>
  <c r="E43" i="3"/>
  <c r="C43" i="3"/>
  <c r="I42" i="3"/>
  <c r="J42" i="3" s="1"/>
  <c r="G42" i="3"/>
  <c r="E42" i="3"/>
  <c r="C42" i="3"/>
  <c r="I41" i="3"/>
  <c r="J41" i="3" s="1"/>
  <c r="G41" i="3"/>
  <c r="E41" i="3"/>
  <c r="C41" i="3"/>
  <c r="I40" i="3"/>
  <c r="J40" i="3" s="1"/>
  <c r="G40" i="3"/>
  <c r="E40" i="3"/>
  <c r="C40" i="3"/>
  <c r="I39" i="3"/>
  <c r="J39" i="3" s="1"/>
  <c r="G39" i="3"/>
  <c r="E39" i="3"/>
  <c r="C39" i="3"/>
  <c r="I38" i="3"/>
  <c r="J38" i="3" s="1"/>
  <c r="G38" i="3"/>
  <c r="E38" i="3"/>
  <c r="C38" i="3"/>
  <c r="I37" i="3"/>
  <c r="J37" i="3" s="1"/>
  <c r="G37" i="3"/>
  <c r="E37" i="3"/>
  <c r="C37" i="3"/>
  <c r="I36" i="3"/>
  <c r="J36" i="3" s="1"/>
  <c r="G36" i="3"/>
  <c r="E36" i="3"/>
  <c r="C36" i="3"/>
  <c r="I35" i="3"/>
  <c r="J35" i="3" s="1"/>
  <c r="G35" i="3"/>
  <c r="E35" i="3"/>
  <c r="C35" i="3"/>
  <c r="I34" i="3"/>
  <c r="J34" i="3" s="1"/>
  <c r="G34" i="3"/>
  <c r="E34" i="3"/>
  <c r="C34" i="3"/>
  <c r="I33" i="3"/>
  <c r="J33" i="3" s="1"/>
  <c r="G33" i="3"/>
  <c r="E33" i="3"/>
  <c r="C33" i="3"/>
  <c r="I32" i="3"/>
  <c r="J32" i="3" s="1"/>
  <c r="G32" i="3"/>
  <c r="E32" i="3"/>
  <c r="C32" i="3"/>
  <c r="I31" i="3"/>
  <c r="J31" i="3" s="1"/>
  <c r="G31" i="3"/>
  <c r="E31" i="3"/>
  <c r="C31" i="3"/>
  <c r="I30" i="3"/>
  <c r="J30" i="3" s="1"/>
  <c r="G30" i="3"/>
  <c r="E30" i="3"/>
  <c r="C30" i="3"/>
  <c r="I29" i="3"/>
  <c r="J29" i="3" s="1"/>
  <c r="G29" i="3"/>
  <c r="E29" i="3"/>
  <c r="C29" i="3"/>
  <c r="I28" i="3"/>
  <c r="J28" i="3" s="1"/>
  <c r="G28" i="3"/>
  <c r="E28" i="3"/>
  <c r="C28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6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Z121" i="2"/>
  <c r="V121" i="2"/>
  <c r="T121" i="2"/>
  <c r="X121" i="2" s="1"/>
  <c r="Y121" i="2" s="1"/>
  <c r="R121" i="2"/>
  <c r="P121" i="2"/>
  <c r="Q121" i="2" s="1"/>
  <c r="O121" i="2"/>
  <c r="N121" i="2"/>
  <c r="M121" i="2"/>
  <c r="L121" i="2"/>
  <c r="J121" i="2"/>
  <c r="F121" i="2"/>
  <c r="E121" i="2"/>
  <c r="G121" i="2" s="1"/>
  <c r="D121" i="2"/>
  <c r="H121" i="2" s="1"/>
  <c r="I121" i="2" s="1"/>
  <c r="Z120" i="2"/>
  <c r="X120" i="2"/>
  <c r="W120" i="2" s="1"/>
  <c r="V120" i="2"/>
  <c r="U120" i="2"/>
  <c r="T120" i="2"/>
  <c r="R120" i="2"/>
  <c r="N120" i="2"/>
  <c r="L120" i="2"/>
  <c r="M120" i="2" s="1"/>
  <c r="J120" i="2"/>
  <c r="F120" i="2"/>
  <c r="D120" i="2"/>
  <c r="H120" i="2" s="1"/>
  <c r="I120" i="2" s="1"/>
  <c r="Z119" i="2"/>
  <c r="V119" i="2"/>
  <c r="U119" i="2"/>
  <c r="W119" i="2" s="1"/>
  <c r="T119" i="2"/>
  <c r="X119" i="2" s="1"/>
  <c r="Y119" i="2" s="1"/>
  <c r="R119" i="2"/>
  <c r="N119" i="2"/>
  <c r="L119" i="2"/>
  <c r="P119" i="2" s="1"/>
  <c r="Q119" i="2" s="1"/>
  <c r="J119" i="2"/>
  <c r="H119" i="2"/>
  <c r="I119" i="2" s="1"/>
  <c r="F119" i="2"/>
  <c r="D119" i="2"/>
  <c r="E119" i="2" s="1"/>
  <c r="G119" i="2" s="1"/>
  <c r="Z118" i="2"/>
  <c r="V118" i="2"/>
  <c r="T118" i="2"/>
  <c r="X118" i="2" s="1"/>
  <c r="Y118" i="2" s="1"/>
  <c r="R118" i="2"/>
  <c r="Q118" i="2"/>
  <c r="P118" i="2"/>
  <c r="N118" i="2"/>
  <c r="L118" i="2"/>
  <c r="M118" i="2" s="1"/>
  <c r="O118" i="2" s="1"/>
  <c r="J118" i="2"/>
  <c r="F118" i="2"/>
  <c r="D118" i="2"/>
  <c r="E118" i="2" s="1"/>
  <c r="Z117" i="2"/>
  <c r="V117" i="2"/>
  <c r="T117" i="2"/>
  <c r="X117" i="2" s="1"/>
  <c r="Y117" i="2" s="1"/>
  <c r="R117" i="2"/>
  <c r="P117" i="2"/>
  <c r="Q117" i="2" s="1"/>
  <c r="N117" i="2"/>
  <c r="M117" i="2" s="1"/>
  <c r="O117" i="2" s="1"/>
  <c r="L117" i="2"/>
  <c r="J117" i="2"/>
  <c r="F117" i="2"/>
  <c r="E117" i="2"/>
  <c r="D117" i="2"/>
  <c r="H117" i="2" s="1"/>
  <c r="I117" i="2" s="1"/>
  <c r="Z116" i="2"/>
  <c r="X116" i="2"/>
  <c r="W116" i="2" s="1"/>
  <c r="V116" i="2"/>
  <c r="U116" i="2"/>
  <c r="T116" i="2"/>
  <c r="R116" i="2"/>
  <c r="N116" i="2"/>
  <c r="L116" i="2"/>
  <c r="M116" i="2" s="1"/>
  <c r="J116" i="2"/>
  <c r="F116" i="2"/>
  <c r="D116" i="2"/>
  <c r="H116" i="2" s="1"/>
  <c r="I116" i="2" s="1"/>
  <c r="Z115" i="2"/>
  <c r="V115" i="2"/>
  <c r="U115" i="2"/>
  <c r="W115" i="2" s="1"/>
  <c r="T115" i="2"/>
  <c r="X115" i="2" s="1"/>
  <c r="Y115" i="2" s="1"/>
  <c r="R115" i="2"/>
  <c r="N115" i="2"/>
  <c r="L115" i="2"/>
  <c r="P115" i="2" s="1"/>
  <c r="Q115" i="2" s="1"/>
  <c r="J115" i="2"/>
  <c r="H115" i="2"/>
  <c r="I115" i="2" s="1"/>
  <c r="F115" i="2"/>
  <c r="D115" i="2"/>
  <c r="E115" i="2" s="1"/>
  <c r="G115" i="2" s="1"/>
  <c r="Z114" i="2"/>
  <c r="V114" i="2"/>
  <c r="T114" i="2"/>
  <c r="X114" i="2" s="1"/>
  <c r="Y114" i="2" s="1"/>
  <c r="R114" i="2"/>
  <c r="Q114" i="2"/>
  <c r="P114" i="2"/>
  <c r="N114" i="2"/>
  <c r="L114" i="2"/>
  <c r="M114" i="2" s="1"/>
  <c r="J114" i="2"/>
  <c r="F114" i="2"/>
  <c r="D114" i="2"/>
  <c r="E114" i="2" s="1"/>
  <c r="AA107" i="2"/>
  <c r="W107" i="2"/>
  <c r="U107" i="2"/>
  <c r="Y107" i="2" s="1"/>
  <c r="Z107" i="2" s="1"/>
  <c r="S107" i="2"/>
  <c r="Q107" i="2"/>
  <c r="R107" i="2" s="1"/>
  <c r="O107" i="2"/>
  <c r="M107" i="2"/>
  <c r="N107" i="2" s="1"/>
  <c r="P107" i="2" s="1"/>
  <c r="K107" i="2"/>
  <c r="G107" i="2"/>
  <c r="E107" i="2"/>
  <c r="F107" i="2" s="1"/>
  <c r="H107" i="2" s="1"/>
  <c r="AA106" i="2"/>
  <c r="Y106" i="2"/>
  <c r="W106" i="2"/>
  <c r="U106" i="2"/>
  <c r="V106" i="2" s="1"/>
  <c r="X106" i="2" s="1"/>
  <c r="S106" i="2"/>
  <c r="Q106" i="2"/>
  <c r="R106" i="2" s="1"/>
  <c r="O106" i="2"/>
  <c r="N106" i="2"/>
  <c r="P106" i="2" s="1"/>
  <c r="M106" i="2"/>
  <c r="K106" i="2"/>
  <c r="G106" i="2"/>
  <c r="F106" i="2"/>
  <c r="H106" i="2" s="1"/>
  <c r="E106" i="2"/>
  <c r="I106" i="2" s="1"/>
  <c r="J106" i="2" s="1"/>
  <c r="AA105" i="2"/>
  <c r="Y105" i="2"/>
  <c r="Z105" i="2" s="1"/>
  <c r="X105" i="2"/>
  <c r="W105" i="2"/>
  <c r="V105" i="2"/>
  <c r="U105" i="2"/>
  <c r="S105" i="2"/>
  <c r="O105" i="2"/>
  <c r="M105" i="2"/>
  <c r="N105" i="2" s="1"/>
  <c r="P105" i="2" s="1"/>
  <c r="K105" i="2"/>
  <c r="J105" i="2"/>
  <c r="I105" i="2"/>
  <c r="G105" i="2"/>
  <c r="E105" i="2"/>
  <c r="F105" i="2" s="1"/>
  <c r="H105" i="2" s="1"/>
  <c r="AA104" i="2"/>
  <c r="W104" i="2"/>
  <c r="U104" i="2"/>
  <c r="S104" i="2"/>
  <c r="O104" i="2"/>
  <c r="M104" i="2"/>
  <c r="Q104" i="2" s="1"/>
  <c r="R104" i="2" s="1"/>
  <c r="K104" i="2"/>
  <c r="I104" i="2"/>
  <c r="J104" i="2" s="1"/>
  <c r="G104" i="2"/>
  <c r="E104" i="2"/>
  <c r="F104" i="2" s="1"/>
  <c r="H104" i="2" s="1"/>
  <c r="AA103" i="2"/>
  <c r="W103" i="2"/>
  <c r="U103" i="2"/>
  <c r="Y103" i="2" s="1"/>
  <c r="Z103" i="2" s="1"/>
  <c r="S103" i="2"/>
  <c r="Q103" i="2"/>
  <c r="R103" i="2" s="1"/>
  <c r="O103" i="2"/>
  <c r="M103" i="2"/>
  <c r="N103" i="2" s="1"/>
  <c r="P103" i="2" s="1"/>
  <c r="K103" i="2"/>
  <c r="G103" i="2"/>
  <c r="E103" i="2"/>
  <c r="F103" i="2" s="1"/>
  <c r="AA102" i="2"/>
  <c r="Y102" i="2"/>
  <c r="Z102" i="2" s="1"/>
  <c r="W102" i="2"/>
  <c r="U102" i="2"/>
  <c r="V102" i="2" s="1"/>
  <c r="X102" i="2" s="1"/>
  <c r="S102" i="2"/>
  <c r="Q102" i="2"/>
  <c r="R102" i="2" s="1"/>
  <c r="O102" i="2"/>
  <c r="N102" i="2"/>
  <c r="P102" i="2" s="1"/>
  <c r="M102" i="2"/>
  <c r="K102" i="2"/>
  <c r="G102" i="2"/>
  <c r="F102" i="2"/>
  <c r="H102" i="2" s="1"/>
  <c r="E102" i="2"/>
  <c r="I102" i="2" s="1"/>
  <c r="J102" i="2" s="1"/>
  <c r="AA101" i="2"/>
  <c r="Y101" i="2"/>
  <c r="Z101" i="2" s="1"/>
  <c r="X101" i="2"/>
  <c r="W101" i="2"/>
  <c r="V101" i="2"/>
  <c r="U101" i="2"/>
  <c r="S101" i="2"/>
  <c r="O101" i="2"/>
  <c r="M101" i="2"/>
  <c r="N101" i="2" s="1"/>
  <c r="P101" i="2" s="1"/>
  <c r="K101" i="2"/>
  <c r="J101" i="2"/>
  <c r="I101" i="2"/>
  <c r="G101" i="2"/>
  <c r="E101" i="2"/>
  <c r="F101" i="2" s="1"/>
  <c r="H101" i="2" s="1"/>
  <c r="AA100" i="2"/>
  <c r="W100" i="2"/>
  <c r="U100" i="2"/>
  <c r="S100" i="2"/>
  <c r="O100" i="2"/>
  <c r="M100" i="2"/>
  <c r="Q100" i="2" s="1"/>
  <c r="R100" i="2" s="1"/>
  <c r="K100" i="2"/>
  <c r="I100" i="2"/>
  <c r="J100" i="2" s="1"/>
  <c r="G100" i="2"/>
  <c r="E100" i="2"/>
  <c r="X95" i="2"/>
  <c r="W95" i="2"/>
  <c r="V95" i="2"/>
  <c r="T95" i="2"/>
  <c r="U95" i="2" s="1"/>
  <c r="R95" i="2"/>
  <c r="Q95" i="2"/>
  <c r="P95" i="2"/>
  <c r="O95" i="2"/>
  <c r="N95" i="2"/>
  <c r="L95" i="2"/>
  <c r="K95" i="2"/>
  <c r="J95" i="2"/>
  <c r="I95" i="2"/>
  <c r="H95" i="2"/>
  <c r="X94" i="2"/>
  <c r="V94" i="2"/>
  <c r="W94" i="2" s="1"/>
  <c r="U94" i="2"/>
  <c r="T94" i="2"/>
  <c r="R94" i="2"/>
  <c r="Q94" i="2"/>
  <c r="P94" i="2"/>
  <c r="O94" i="2"/>
  <c r="N94" i="2"/>
  <c r="L94" i="2"/>
  <c r="J94" i="2"/>
  <c r="K94" i="2" s="1"/>
  <c r="H94" i="2"/>
  <c r="I94" i="2" s="1"/>
  <c r="X93" i="2"/>
  <c r="W93" i="2" s="1"/>
  <c r="V93" i="2"/>
  <c r="U93" i="2" s="1"/>
  <c r="T93" i="2"/>
  <c r="R93" i="2"/>
  <c r="P93" i="2"/>
  <c r="Q93" i="2" s="1"/>
  <c r="N93" i="2"/>
  <c r="O93" i="2" s="1"/>
  <c r="L93" i="2"/>
  <c r="J93" i="2"/>
  <c r="K93" i="2" s="1"/>
  <c r="H93" i="2"/>
  <c r="I93" i="2" s="1"/>
  <c r="X92" i="2"/>
  <c r="W92" i="2" s="1"/>
  <c r="V92" i="2"/>
  <c r="T92" i="2"/>
  <c r="U92" i="2" s="1"/>
  <c r="R92" i="2"/>
  <c r="P92" i="2"/>
  <c r="Q92" i="2" s="1"/>
  <c r="N92" i="2"/>
  <c r="O92" i="2" s="1"/>
  <c r="L92" i="2"/>
  <c r="K92" i="2"/>
  <c r="J92" i="2"/>
  <c r="H92" i="2"/>
  <c r="I92" i="2" s="1"/>
  <c r="X91" i="2"/>
  <c r="W91" i="2"/>
  <c r="V91" i="2"/>
  <c r="T91" i="2"/>
  <c r="U91" i="2" s="1"/>
  <c r="R91" i="2"/>
  <c r="Q91" i="2"/>
  <c r="P91" i="2"/>
  <c r="O91" i="2"/>
  <c r="N91" i="2"/>
  <c r="L91" i="2"/>
  <c r="K91" i="2"/>
  <c r="J91" i="2"/>
  <c r="I91" i="2"/>
  <c r="H91" i="2"/>
  <c r="X90" i="2"/>
  <c r="V90" i="2"/>
  <c r="W90" i="2" s="1"/>
  <c r="U90" i="2"/>
  <c r="T90" i="2"/>
  <c r="R90" i="2"/>
  <c r="Q90" i="2"/>
  <c r="P90" i="2"/>
  <c r="O90" i="2"/>
  <c r="N90" i="2"/>
  <c r="L90" i="2"/>
  <c r="J90" i="2"/>
  <c r="K90" i="2" s="1"/>
  <c r="H90" i="2"/>
  <c r="I90" i="2" s="1"/>
  <c r="X89" i="2"/>
  <c r="W89" i="2" s="1"/>
  <c r="V89" i="2"/>
  <c r="U89" i="2" s="1"/>
  <c r="T89" i="2"/>
  <c r="R89" i="2"/>
  <c r="P89" i="2"/>
  <c r="Q89" i="2" s="1"/>
  <c r="N89" i="2"/>
  <c r="O89" i="2" s="1"/>
  <c r="L89" i="2"/>
  <c r="J89" i="2"/>
  <c r="K89" i="2" s="1"/>
  <c r="H89" i="2"/>
  <c r="I89" i="2" s="1"/>
  <c r="X88" i="2"/>
  <c r="W88" i="2" s="1"/>
  <c r="V88" i="2"/>
  <c r="T88" i="2"/>
  <c r="U88" i="2" s="1"/>
  <c r="R88" i="2"/>
  <c r="P88" i="2"/>
  <c r="Q88" i="2" s="1"/>
  <c r="N88" i="2"/>
  <c r="O88" i="2" s="1"/>
  <c r="L88" i="2"/>
  <c r="K88" i="2"/>
  <c r="J88" i="2"/>
  <c r="H88" i="2"/>
  <c r="I88" i="2" s="1"/>
  <c r="V84" i="2"/>
  <c r="T84" i="2"/>
  <c r="U84" i="2" s="1"/>
  <c r="S84" i="2"/>
  <c r="R84" i="2"/>
  <c r="P84" i="2"/>
  <c r="O84" i="2" s="1"/>
  <c r="N84" i="2"/>
  <c r="L84" i="2"/>
  <c r="M84" i="2" s="1"/>
  <c r="J84" i="2"/>
  <c r="H84" i="2"/>
  <c r="I84" i="2" s="1"/>
  <c r="F84" i="2"/>
  <c r="G84" i="2" s="1"/>
  <c r="V83" i="2"/>
  <c r="T83" i="2"/>
  <c r="R83" i="2"/>
  <c r="P83" i="2"/>
  <c r="O83" i="2"/>
  <c r="N83" i="2"/>
  <c r="L83" i="2"/>
  <c r="M83" i="2" s="1"/>
  <c r="J83" i="2"/>
  <c r="H83" i="2"/>
  <c r="I83" i="2" s="1"/>
  <c r="F83" i="2"/>
  <c r="G83" i="2" s="1"/>
  <c r="V82" i="2"/>
  <c r="T82" i="2"/>
  <c r="U82" i="2" s="1"/>
  <c r="S82" i="2"/>
  <c r="R82" i="2"/>
  <c r="P82" i="2"/>
  <c r="N82" i="2"/>
  <c r="O82" i="2" s="1"/>
  <c r="L82" i="2"/>
  <c r="M82" i="2" s="1"/>
  <c r="J82" i="2"/>
  <c r="I82" i="2"/>
  <c r="H82" i="2"/>
  <c r="F82" i="2"/>
  <c r="G82" i="2" s="1"/>
  <c r="V81" i="2"/>
  <c r="T81" i="2"/>
  <c r="U81" i="2" s="1"/>
  <c r="R81" i="2"/>
  <c r="S81" i="2" s="1"/>
  <c r="P81" i="2"/>
  <c r="O81" i="2"/>
  <c r="N81" i="2"/>
  <c r="M81" i="2"/>
  <c r="L81" i="2"/>
  <c r="J81" i="2"/>
  <c r="H81" i="2"/>
  <c r="I81" i="2" s="1"/>
  <c r="F81" i="2"/>
  <c r="G81" i="2" s="1"/>
  <c r="V80" i="2"/>
  <c r="T80" i="2"/>
  <c r="U80" i="2" s="1"/>
  <c r="S80" i="2"/>
  <c r="R80" i="2"/>
  <c r="P80" i="2"/>
  <c r="O80" i="2" s="1"/>
  <c r="N80" i="2"/>
  <c r="L80" i="2"/>
  <c r="M80" i="2" s="1"/>
  <c r="J80" i="2"/>
  <c r="H80" i="2"/>
  <c r="I80" i="2" s="1"/>
  <c r="F80" i="2"/>
  <c r="G80" i="2" s="1"/>
  <c r="V79" i="2"/>
  <c r="T79" i="2"/>
  <c r="R79" i="2"/>
  <c r="P79" i="2"/>
  <c r="O79" i="2"/>
  <c r="N79" i="2"/>
  <c r="L79" i="2"/>
  <c r="M79" i="2" s="1"/>
  <c r="J79" i="2"/>
  <c r="H79" i="2"/>
  <c r="I79" i="2" s="1"/>
  <c r="F79" i="2"/>
  <c r="G79" i="2" s="1"/>
  <c r="V78" i="2"/>
  <c r="T78" i="2"/>
  <c r="U78" i="2" s="1"/>
  <c r="S78" i="2"/>
  <c r="R78" i="2"/>
  <c r="P78" i="2"/>
  <c r="N78" i="2"/>
  <c r="O78" i="2" s="1"/>
  <c r="L78" i="2"/>
  <c r="M78" i="2" s="1"/>
  <c r="J78" i="2"/>
  <c r="I78" i="2"/>
  <c r="H78" i="2"/>
  <c r="F78" i="2"/>
  <c r="G78" i="2" s="1"/>
  <c r="V77" i="2"/>
  <c r="T77" i="2"/>
  <c r="U77" i="2" s="1"/>
  <c r="R77" i="2"/>
  <c r="S77" i="2" s="1"/>
  <c r="P77" i="2"/>
  <c r="O77" i="2"/>
  <c r="N77" i="2"/>
  <c r="M77" i="2"/>
  <c r="L77" i="2"/>
  <c r="J77" i="2"/>
  <c r="H77" i="2"/>
  <c r="I77" i="2" s="1"/>
  <c r="F77" i="2"/>
  <c r="G77" i="2" s="1"/>
  <c r="V73" i="2"/>
  <c r="T73" i="2"/>
  <c r="S73" i="2" s="1"/>
  <c r="U73" i="2" s="1"/>
  <c r="R73" i="2"/>
  <c r="P73" i="2"/>
  <c r="N73" i="2"/>
  <c r="L73" i="2"/>
  <c r="M73" i="2" s="1"/>
  <c r="O73" i="2" s="1"/>
  <c r="J73" i="2"/>
  <c r="H73" i="2"/>
  <c r="I73" i="2" s="1"/>
  <c r="F73" i="2"/>
  <c r="G73" i="2" s="1"/>
  <c r="V72" i="2"/>
  <c r="T72" i="2"/>
  <c r="S72" i="2"/>
  <c r="U72" i="2" s="1"/>
  <c r="R72" i="2"/>
  <c r="P72" i="2"/>
  <c r="N72" i="2"/>
  <c r="L72" i="2"/>
  <c r="M72" i="2" s="1"/>
  <c r="O72" i="2" s="1"/>
  <c r="J72" i="2"/>
  <c r="H72" i="2"/>
  <c r="F72" i="2"/>
  <c r="G72" i="2" s="1"/>
  <c r="I72" i="2" s="1"/>
  <c r="V71" i="2"/>
  <c r="T71" i="2"/>
  <c r="R71" i="2"/>
  <c r="S71" i="2" s="1"/>
  <c r="U71" i="2" s="1"/>
  <c r="P71" i="2"/>
  <c r="O71" i="2"/>
  <c r="N71" i="2"/>
  <c r="M71" i="2"/>
  <c r="L71" i="2"/>
  <c r="J71" i="2"/>
  <c r="H71" i="2"/>
  <c r="F71" i="2"/>
  <c r="G71" i="2" s="1"/>
  <c r="I71" i="2" s="1"/>
  <c r="V70" i="2"/>
  <c r="T70" i="2"/>
  <c r="S70" i="2"/>
  <c r="U70" i="2" s="1"/>
  <c r="R70" i="2"/>
  <c r="P70" i="2"/>
  <c r="N70" i="2"/>
  <c r="L70" i="2"/>
  <c r="M70" i="2" s="1"/>
  <c r="O70" i="2" s="1"/>
  <c r="J70" i="2"/>
  <c r="H70" i="2"/>
  <c r="F70" i="2"/>
  <c r="G70" i="2" s="1"/>
  <c r="I70" i="2" s="1"/>
  <c r="V69" i="2"/>
  <c r="T69" i="2"/>
  <c r="S69" i="2" s="1"/>
  <c r="U69" i="2" s="1"/>
  <c r="R69" i="2"/>
  <c r="P69" i="2"/>
  <c r="N69" i="2"/>
  <c r="L69" i="2"/>
  <c r="M69" i="2" s="1"/>
  <c r="O69" i="2" s="1"/>
  <c r="J69" i="2"/>
  <c r="H69" i="2"/>
  <c r="F69" i="2"/>
  <c r="G69" i="2" s="1"/>
  <c r="I69" i="2" s="1"/>
  <c r="V68" i="2"/>
  <c r="T68" i="2"/>
  <c r="S68" i="2"/>
  <c r="U68" i="2" s="1"/>
  <c r="R68" i="2"/>
  <c r="P68" i="2"/>
  <c r="N68" i="2"/>
  <c r="L68" i="2"/>
  <c r="M68" i="2" s="1"/>
  <c r="O68" i="2" s="1"/>
  <c r="J68" i="2"/>
  <c r="H68" i="2"/>
  <c r="F68" i="2"/>
  <c r="G68" i="2" s="1"/>
  <c r="I68" i="2" s="1"/>
  <c r="V67" i="2"/>
  <c r="T67" i="2"/>
  <c r="R67" i="2"/>
  <c r="S67" i="2" s="1"/>
  <c r="U67" i="2" s="1"/>
  <c r="P67" i="2"/>
  <c r="O67" i="2"/>
  <c r="N67" i="2"/>
  <c r="M67" i="2"/>
  <c r="L67" i="2"/>
  <c r="J67" i="2"/>
  <c r="H67" i="2"/>
  <c r="F67" i="2"/>
  <c r="G67" i="2" s="1"/>
  <c r="I67" i="2" s="1"/>
  <c r="V66" i="2"/>
  <c r="T66" i="2"/>
  <c r="S66" i="2"/>
  <c r="U66" i="2" s="1"/>
  <c r="R66" i="2"/>
  <c r="P66" i="2"/>
  <c r="O66" i="2"/>
  <c r="N66" i="2"/>
  <c r="M66" i="2"/>
  <c r="L66" i="2"/>
  <c r="J66" i="2"/>
  <c r="H66" i="2"/>
  <c r="F66" i="2"/>
  <c r="G66" i="2" s="1"/>
  <c r="I66" i="2" s="1"/>
  <c r="V62" i="2"/>
  <c r="T62" i="2"/>
  <c r="S62" i="2"/>
  <c r="R62" i="2"/>
  <c r="P62" i="2"/>
  <c r="N62" i="2"/>
  <c r="L62" i="2"/>
  <c r="M62" i="2" s="1"/>
  <c r="J62" i="2"/>
  <c r="H62" i="2"/>
  <c r="F62" i="2"/>
  <c r="G62" i="2" s="1"/>
  <c r="V61" i="2"/>
  <c r="T61" i="2"/>
  <c r="R61" i="2"/>
  <c r="S61" i="2" s="1"/>
  <c r="P61" i="2"/>
  <c r="O61" i="2"/>
  <c r="N61" i="2"/>
  <c r="M61" i="2"/>
  <c r="L61" i="2"/>
  <c r="J61" i="2"/>
  <c r="H61" i="2"/>
  <c r="F61" i="2"/>
  <c r="G61" i="2" s="1"/>
  <c r="V60" i="2"/>
  <c r="T60" i="2"/>
  <c r="S60" i="2"/>
  <c r="R60" i="2"/>
  <c r="P60" i="2"/>
  <c r="N60" i="2"/>
  <c r="L60" i="2"/>
  <c r="M60" i="2" s="1"/>
  <c r="J60" i="2"/>
  <c r="H60" i="2"/>
  <c r="F60" i="2"/>
  <c r="G60" i="2" s="1"/>
  <c r="V59" i="2"/>
  <c r="T59" i="2"/>
  <c r="S59" i="2" s="1"/>
  <c r="R59" i="2"/>
  <c r="P59" i="2"/>
  <c r="N59" i="2"/>
  <c r="L59" i="2"/>
  <c r="M59" i="2" s="1"/>
  <c r="J59" i="2"/>
  <c r="H59" i="2"/>
  <c r="F59" i="2"/>
  <c r="V58" i="2"/>
  <c r="T58" i="2"/>
  <c r="S58" i="2"/>
  <c r="R58" i="2"/>
  <c r="P58" i="2"/>
  <c r="N58" i="2"/>
  <c r="L58" i="2"/>
  <c r="M58" i="2" s="1"/>
  <c r="J58" i="2"/>
  <c r="H58" i="2"/>
  <c r="F58" i="2"/>
  <c r="G58" i="2" s="1"/>
  <c r="V57" i="2"/>
  <c r="T57" i="2"/>
  <c r="R57" i="2"/>
  <c r="S57" i="2" s="1"/>
  <c r="P57" i="2"/>
  <c r="N57" i="2"/>
  <c r="M57" i="2"/>
  <c r="L57" i="2"/>
  <c r="J57" i="2"/>
  <c r="H57" i="2"/>
  <c r="F57" i="2"/>
  <c r="G57" i="2" s="1"/>
  <c r="V56" i="2"/>
  <c r="T56" i="2"/>
  <c r="S56" i="2"/>
  <c r="R56" i="2"/>
  <c r="P56" i="2"/>
  <c r="N56" i="2"/>
  <c r="L56" i="2"/>
  <c r="M56" i="2" s="1"/>
  <c r="J56" i="2"/>
  <c r="H56" i="2"/>
  <c r="F56" i="2"/>
  <c r="G56" i="2" s="1"/>
  <c r="V55" i="2"/>
  <c r="T55" i="2"/>
  <c r="S55" i="2" s="1"/>
  <c r="R55" i="2"/>
  <c r="P55" i="2"/>
  <c r="N55" i="2"/>
  <c r="L55" i="2"/>
  <c r="M55" i="2" s="1"/>
  <c r="J55" i="2"/>
  <c r="H55" i="2"/>
  <c r="F55" i="2"/>
  <c r="G55" i="2" s="1"/>
  <c r="AA50" i="2"/>
  <c r="Z50" i="2"/>
  <c r="X50" i="2"/>
  <c r="Y50" i="2" s="1"/>
  <c r="U50" i="2"/>
  <c r="V50" i="2" s="1"/>
  <c r="R50" i="2"/>
  <c r="S50" i="2" s="1"/>
  <c r="Q50" i="2"/>
  <c r="P50" i="2"/>
  <c r="N50" i="2"/>
  <c r="O50" i="2" s="1"/>
  <c r="M50" i="2"/>
  <c r="J50" i="2"/>
  <c r="K50" i="2" s="1"/>
  <c r="H50" i="2"/>
  <c r="I50" i="2" s="1"/>
  <c r="G50" i="2"/>
  <c r="E50" i="2"/>
  <c r="F50" i="2" s="1"/>
  <c r="AA49" i="2"/>
  <c r="Z49" i="2"/>
  <c r="X49" i="2"/>
  <c r="Y49" i="2" s="1"/>
  <c r="W49" i="2" s="1"/>
  <c r="U49" i="2"/>
  <c r="V49" i="2" s="1"/>
  <c r="R49" i="2"/>
  <c r="S49" i="2" s="1"/>
  <c r="Q49" i="2"/>
  <c r="O49" i="2" s="1"/>
  <c r="P49" i="2"/>
  <c r="N49" i="2"/>
  <c r="M49" i="2"/>
  <c r="J49" i="2"/>
  <c r="K49" i="2" s="1"/>
  <c r="H49" i="2"/>
  <c r="I49" i="2" s="1"/>
  <c r="E49" i="2"/>
  <c r="F49" i="2" s="1"/>
  <c r="AA48" i="2"/>
  <c r="Z48" i="2"/>
  <c r="Y48" i="2"/>
  <c r="X48" i="2"/>
  <c r="U48" i="2"/>
  <c r="V48" i="2" s="1"/>
  <c r="R48" i="2"/>
  <c r="S48" i="2" s="1"/>
  <c r="P48" i="2"/>
  <c r="Q48" i="2" s="1"/>
  <c r="N48" i="2"/>
  <c r="O48" i="2" s="1"/>
  <c r="M48" i="2"/>
  <c r="K48" i="2"/>
  <c r="J48" i="2"/>
  <c r="H48" i="2"/>
  <c r="I48" i="2" s="1"/>
  <c r="E48" i="2"/>
  <c r="F48" i="2" s="1"/>
  <c r="G48" i="2" s="1"/>
  <c r="Z47" i="2"/>
  <c r="AA47" i="2" s="1"/>
  <c r="X47" i="2"/>
  <c r="Y47" i="2" s="1"/>
  <c r="W47" i="2" s="1"/>
  <c r="V47" i="2"/>
  <c r="U47" i="2"/>
  <c r="R47" i="2"/>
  <c r="S47" i="2" s="1"/>
  <c r="Q47" i="2"/>
  <c r="P47" i="2"/>
  <c r="M47" i="2"/>
  <c r="N47" i="2" s="1"/>
  <c r="O47" i="2" s="1"/>
  <c r="J47" i="2"/>
  <c r="K47" i="2" s="1"/>
  <c r="H47" i="2"/>
  <c r="I47" i="2" s="1"/>
  <c r="E47" i="2"/>
  <c r="F47" i="2" s="1"/>
  <c r="AA46" i="2"/>
  <c r="Z46" i="2"/>
  <c r="X46" i="2"/>
  <c r="Y46" i="2" s="1"/>
  <c r="W46" i="2" s="1"/>
  <c r="U46" i="2"/>
  <c r="V46" i="2" s="1"/>
  <c r="R46" i="2"/>
  <c r="S46" i="2" s="1"/>
  <c r="Q46" i="2"/>
  <c r="P46" i="2"/>
  <c r="N46" i="2"/>
  <c r="O46" i="2" s="1"/>
  <c r="M46" i="2"/>
  <c r="J46" i="2"/>
  <c r="K46" i="2" s="1"/>
  <c r="H46" i="2"/>
  <c r="I46" i="2" s="1"/>
  <c r="E46" i="2"/>
  <c r="F46" i="2" s="1"/>
  <c r="G46" i="2" s="1"/>
  <c r="AA45" i="2"/>
  <c r="Z45" i="2"/>
  <c r="X45" i="2"/>
  <c r="Y45" i="2" s="1"/>
  <c r="U45" i="2"/>
  <c r="V45" i="2" s="1"/>
  <c r="R45" i="2"/>
  <c r="S45" i="2" s="1"/>
  <c r="Q45" i="2"/>
  <c r="P45" i="2"/>
  <c r="O45" i="2"/>
  <c r="N45" i="2"/>
  <c r="M45" i="2"/>
  <c r="J45" i="2"/>
  <c r="K45" i="2" s="1"/>
  <c r="H45" i="2"/>
  <c r="I45" i="2" s="1"/>
  <c r="E45" i="2"/>
  <c r="F45" i="2" s="1"/>
  <c r="G45" i="2" s="1"/>
  <c r="AA44" i="2"/>
  <c r="Z44" i="2"/>
  <c r="Y44" i="2"/>
  <c r="W44" i="2" s="1"/>
  <c r="X44" i="2"/>
  <c r="U44" i="2"/>
  <c r="V44" i="2" s="1"/>
  <c r="R44" i="2"/>
  <c r="S44" i="2" s="1"/>
  <c r="P44" i="2"/>
  <c r="Q44" i="2" s="1"/>
  <c r="N44" i="2"/>
  <c r="O44" i="2" s="1"/>
  <c r="M44" i="2"/>
  <c r="K44" i="2"/>
  <c r="J44" i="2"/>
  <c r="H44" i="2"/>
  <c r="I44" i="2" s="1"/>
  <c r="E44" i="2"/>
  <c r="F44" i="2" s="1"/>
  <c r="G44" i="2" s="1"/>
  <c r="Z43" i="2"/>
  <c r="AA43" i="2" s="1"/>
  <c r="X43" i="2"/>
  <c r="Y43" i="2" s="1"/>
  <c r="W43" i="2" s="1"/>
  <c r="V43" i="2"/>
  <c r="V51" i="2" s="1"/>
  <c r="U43" i="2"/>
  <c r="R43" i="2"/>
  <c r="S43" i="2" s="1"/>
  <c r="Q43" i="2"/>
  <c r="P43" i="2"/>
  <c r="M43" i="2"/>
  <c r="N43" i="2" s="1"/>
  <c r="J43" i="2"/>
  <c r="K43" i="2" s="1"/>
  <c r="H43" i="2"/>
  <c r="I43" i="2" s="1"/>
  <c r="E43" i="2"/>
  <c r="F43" i="2" s="1"/>
  <c r="G43" i="2" s="1"/>
  <c r="V38" i="2"/>
  <c r="T38" i="2"/>
  <c r="U38" i="2" s="1"/>
  <c r="S38" i="2"/>
  <c r="R38" i="2"/>
  <c r="P38" i="2"/>
  <c r="O38" i="2"/>
  <c r="N38" i="2"/>
  <c r="L38" i="2"/>
  <c r="M38" i="2" s="1"/>
  <c r="J38" i="2"/>
  <c r="H38" i="2"/>
  <c r="I38" i="2" s="1"/>
  <c r="F38" i="2"/>
  <c r="G38" i="2" s="1"/>
  <c r="V37" i="2"/>
  <c r="T37" i="2"/>
  <c r="U37" i="2" s="1"/>
  <c r="S37" i="2" s="1"/>
  <c r="R37" i="2"/>
  <c r="P37" i="2"/>
  <c r="O37" i="2"/>
  <c r="N37" i="2"/>
  <c r="L37" i="2"/>
  <c r="M37" i="2" s="1"/>
  <c r="J37" i="2"/>
  <c r="H37" i="2"/>
  <c r="I37" i="2" s="1"/>
  <c r="F37" i="2"/>
  <c r="G37" i="2" s="1"/>
  <c r="V36" i="2"/>
  <c r="T36" i="2"/>
  <c r="U36" i="2" s="1"/>
  <c r="S36" i="2" s="1"/>
  <c r="R36" i="2"/>
  <c r="P36" i="2"/>
  <c r="N36" i="2"/>
  <c r="O36" i="2" s="1"/>
  <c r="L36" i="2"/>
  <c r="M36" i="2" s="1"/>
  <c r="J36" i="2"/>
  <c r="I36" i="2"/>
  <c r="H36" i="2"/>
  <c r="F36" i="2"/>
  <c r="G36" i="2" s="1"/>
  <c r="V35" i="2"/>
  <c r="T35" i="2"/>
  <c r="U35" i="2" s="1"/>
  <c r="S35" i="2" s="1"/>
  <c r="R35" i="2"/>
  <c r="P35" i="2"/>
  <c r="O35" i="2"/>
  <c r="N35" i="2"/>
  <c r="M35" i="2"/>
  <c r="L35" i="2"/>
  <c r="J35" i="2"/>
  <c r="H35" i="2"/>
  <c r="I35" i="2" s="1"/>
  <c r="F35" i="2"/>
  <c r="G35" i="2" s="1"/>
  <c r="V34" i="2"/>
  <c r="T34" i="2"/>
  <c r="U34" i="2" s="1"/>
  <c r="S34" i="2" s="1"/>
  <c r="R34" i="2"/>
  <c r="P34" i="2"/>
  <c r="O34" i="2"/>
  <c r="N34" i="2"/>
  <c r="L34" i="2"/>
  <c r="M34" i="2" s="1"/>
  <c r="J34" i="2"/>
  <c r="H34" i="2"/>
  <c r="I34" i="2" s="1"/>
  <c r="F34" i="2"/>
  <c r="V33" i="2"/>
  <c r="T33" i="2"/>
  <c r="R33" i="2"/>
  <c r="P33" i="2"/>
  <c r="O33" i="2"/>
  <c r="N33" i="2"/>
  <c r="L33" i="2"/>
  <c r="M33" i="2" s="1"/>
  <c r="J33" i="2"/>
  <c r="H33" i="2"/>
  <c r="I33" i="2" s="1"/>
  <c r="F33" i="2"/>
  <c r="G33" i="2" s="1"/>
  <c r="V32" i="2"/>
  <c r="T32" i="2"/>
  <c r="U32" i="2" s="1"/>
  <c r="S32" i="2" s="1"/>
  <c r="R32" i="2"/>
  <c r="P32" i="2"/>
  <c r="N32" i="2"/>
  <c r="O32" i="2" s="1"/>
  <c r="L32" i="2"/>
  <c r="M32" i="2" s="1"/>
  <c r="J32" i="2"/>
  <c r="I32" i="2"/>
  <c r="H32" i="2"/>
  <c r="F32" i="2"/>
  <c r="G32" i="2" s="1"/>
  <c r="V31" i="2"/>
  <c r="T31" i="2"/>
  <c r="U31" i="2" s="1"/>
  <c r="S31" i="2" s="1"/>
  <c r="R31" i="2"/>
  <c r="P31" i="2"/>
  <c r="O31" i="2"/>
  <c r="M31" i="2" s="1"/>
  <c r="N31" i="2"/>
  <c r="L31" i="2"/>
  <c r="J31" i="2"/>
  <c r="H31" i="2"/>
  <c r="I31" i="2" s="1"/>
  <c r="F31" i="2"/>
  <c r="G31" i="2" s="1"/>
  <c r="U26" i="2"/>
  <c r="S26" i="2"/>
  <c r="R26" i="2"/>
  <c r="P26" i="2"/>
  <c r="N26" i="2"/>
  <c r="K26" i="2"/>
  <c r="L26" i="2" s="1"/>
  <c r="M26" i="2" s="1"/>
  <c r="I26" i="2"/>
  <c r="J26" i="2" s="1"/>
  <c r="G26" i="2"/>
  <c r="E26" i="2"/>
  <c r="F26" i="2" s="1"/>
  <c r="D26" i="2"/>
  <c r="C26" i="2"/>
  <c r="B26" i="2"/>
  <c r="U25" i="2"/>
  <c r="R25" i="2"/>
  <c r="S25" i="2" s="1"/>
  <c r="T25" i="2" s="1"/>
  <c r="Q25" i="2" s="1"/>
  <c r="P25" i="2"/>
  <c r="N25" i="2"/>
  <c r="L25" i="2"/>
  <c r="M25" i="2" s="1"/>
  <c r="K25" i="2"/>
  <c r="J25" i="2"/>
  <c r="I25" i="2"/>
  <c r="G25" i="2"/>
  <c r="D25" i="2"/>
  <c r="E25" i="2" s="1"/>
  <c r="F25" i="2" s="1"/>
  <c r="B25" i="2"/>
  <c r="C25" i="2" s="1"/>
  <c r="U24" i="2"/>
  <c r="S24" i="2"/>
  <c r="T24" i="2" s="1"/>
  <c r="Q24" i="2" s="1"/>
  <c r="R24" i="2"/>
  <c r="P24" i="2"/>
  <c r="N24" i="2"/>
  <c r="K24" i="2"/>
  <c r="L24" i="2" s="1"/>
  <c r="M24" i="2" s="1"/>
  <c r="I24" i="2"/>
  <c r="J24" i="2" s="1"/>
  <c r="G24" i="2"/>
  <c r="E24" i="2"/>
  <c r="F24" i="2" s="1"/>
  <c r="D24" i="2"/>
  <c r="C24" i="2"/>
  <c r="B24" i="2"/>
  <c r="U23" i="2"/>
  <c r="R23" i="2"/>
  <c r="S23" i="2" s="1"/>
  <c r="T23" i="2" s="1"/>
  <c r="P23" i="2"/>
  <c r="N23" i="2"/>
  <c r="L23" i="2"/>
  <c r="M23" i="2" s="1"/>
  <c r="K23" i="2"/>
  <c r="J23" i="2"/>
  <c r="I23" i="2"/>
  <c r="G23" i="2"/>
  <c r="D23" i="2"/>
  <c r="E23" i="2" s="1"/>
  <c r="F23" i="2" s="1"/>
  <c r="B23" i="2"/>
  <c r="C23" i="2" s="1"/>
  <c r="U22" i="2"/>
  <c r="S22" i="2"/>
  <c r="T22" i="2" s="1"/>
  <c r="Q22" i="2" s="1"/>
  <c r="R22" i="2"/>
  <c r="P22" i="2"/>
  <c r="N22" i="2"/>
  <c r="K22" i="2"/>
  <c r="L22" i="2" s="1"/>
  <c r="M22" i="2" s="1"/>
  <c r="I22" i="2"/>
  <c r="J22" i="2" s="1"/>
  <c r="G22" i="2"/>
  <c r="E22" i="2"/>
  <c r="F22" i="2" s="1"/>
  <c r="C22" i="2" s="1"/>
  <c r="D22" i="2"/>
  <c r="B22" i="2"/>
  <c r="U21" i="2"/>
  <c r="R21" i="2"/>
  <c r="S21" i="2" s="1"/>
  <c r="T21" i="2" s="1"/>
  <c r="P21" i="2"/>
  <c r="N21" i="2"/>
  <c r="L21" i="2"/>
  <c r="M21" i="2" s="1"/>
  <c r="J21" i="2" s="1"/>
  <c r="K21" i="2"/>
  <c r="I21" i="2"/>
  <c r="G21" i="2"/>
  <c r="D21" i="2"/>
  <c r="E21" i="2" s="1"/>
  <c r="F21" i="2" s="1"/>
  <c r="B21" i="2"/>
  <c r="C21" i="2" s="1"/>
  <c r="U20" i="2"/>
  <c r="S20" i="2"/>
  <c r="T20" i="2" s="1"/>
  <c r="Q20" i="2" s="1"/>
  <c r="R20" i="2"/>
  <c r="P20" i="2"/>
  <c r="N20" i="2"/>
  <c r="K20" i="2"/>
  <c r="L20" i="2" s="1"/>
  <c r="M20" i="2" s="1"/>
  <c r="I20" i="2"/>
  <c r="J20" i="2" s="1"/>
  <c r="G20" i="2"/>
  <c r="E20" i="2"/>
  <c r="F20" i="2" s="1"/>
  <c r="C20" i="2" s="1"/>
  <c r="D20" i="2"/>
  <c r="B20" i="2"/>
  <c r="U19" i="2"/>
  <c r="R19" i="2"/>
  <c r="S19" i="2" s="1"/>
  <c r="P19" i="2"/>
  <c r="N19" i="2"/>
  <c r="L19" i="2"/>
  <c r="M19" i="2" s="1"/>
  <c r="J19" i="2" s="1"/>
  <c r="K19" i="2"/>
  <c r="I19" i="2"/>
  <c r="G19" i="2"/>
  <c r="D19" i="2"/>
  <c r="E19" i="2" s="1"/>
  <c r="F19" i="2" s="1"/>
  <c r="B19" i="2"/>
  <c r="C19" i="2" s="1"/>
  <c r="C27" i="2" s="1"/>
  <c r="W9" i="2"/>
  <c r="V9" i="2" s="1"/>
  <c r="U9" i="2"/>
  <c r="T9" i="2"/>
  <c r="S9" i="2"/>
  <c r="Q9" i="2"/>
  <c r="O9" i="2"/>
  <c r="P9" i="2" s="1"/>
  <c r="M9" i="2"/>
  <c r="N9" i="2" s="1"/>
  <c r="K9" i="2"/>
  <c r="J9" i="2"/>
  <c r="I9" i="2"/>
  <c r="H9" i="2" s="1"/>
  <c r="G9" i="2"/>
  <c r="W8" i="2"/>
  <c r="U8" i="2"/>
  <c r="V8" i="2" s="1"/>
  <c r="S8" i="2"/>
  <c r="T8" i="2" s="1"/>
  <c r="Q8" i="2"/>
  <c r="P8" i="2" s="1"/>
  <c r="O8" i="2"/>
  <c r="N8" i="2"/>
  <c r="M8" i="2"/>
  <c r="K8" i="2"/>
  <c r="I8" i="2"/>
  <c r="J8" i="2" s="1"/>
  <c r="G8" i="2"/>
  <c r="H8" i="2" s="1"/>
  <c r="W7" i="2"/>
  <c r="U7" i="2"/>
  <c r="V7" i="2" s="1"/>
  <c r="T7" i="2"/>
  <c r="S7" i="2"/>
  <c r="Q7" i="2"/>
  <c r="P7" i="2"/>
  <c r="O7" i="2"/>
  <c r="M7" i="2"/>
  <c r="N7" i="2" s="1"/>
  <c r="K7" i="2"/>
  <c r="I7" i="2"/>
  <c r="J7" i="2" s="1"/>
  <c r="G7" i="2"/>
  <c r="H7" i="2" s="1"/>
  <c r="W6" i="2"/>
  <c r="U6" i="2"/>
  <c r="V6" i="2" s="1"/>
  <c r="S6" i="2"/>
  <c r="Q6" i="2"/>
  <c r="P6" i="2"/>
  <c r="O6" i="2"/>
  <c r="M6" i="2"/>
  <c r="N6" i="2" s="1"/>
  <c r="K6" i="2"/>
  <c r="I6" i="2"/>
  <c r="J6" i="2" s="1"/>
  <c r="G6" i="2"/>
  <c r="H6" i="2" s="1"/>
  <c r="W5" i="2"/>
  <c r="V5" i="2" s="1"/>
  <c r="U5" i="2"/>
  <c r="T5" i="2"/>
  <c r="S5" i="2"/>
  <c r="Q5" i="2"/>
  <c r="O5" i="2"/>
  <c r="P5" i="2" s="1"/>
  <c r="M5" i="2"/>
  <c r="N5" i="2" s="1"/>
  <c r="K5" i="2"/>
  <c r="J5" i="2"/>
  <c r="I5" i="2"/>
  <c r="H5" i="2" s="1"/>
  <c r="G5" i="2"/>
  <c r="W4" i="2"/>
  <c r="U4" i="2"/>
  <c r="V4" i="2" s="1"/>
  <c r="S4" i="2"/>
  <c r="T4" i="2" s="1"/>
  <c r="Q4" i="2"/>
  <c r="P4" i="2"/>
  <c r="O4" i="2"/>
  <c r="N4" i="2"/>
  <c r="M4" i="2"/>
  <c r="K4" i="2"/>
  <c r="I4" i="2"/>
  <c r="J4" i="2" s="1"/>
  <c r="G4" i="2"/>
  <c r="H4" i="2" s="1"/>
  <c r="W3" i="2"/>
  <c r="U3" i="2"/>
  <c r="V3" i="2" s="1"/>
  <c r="T3" i="2"/>
  <c r="S3" i="2"/>
  <c r="Q3" i="2"/>
  <c r="P3" i="2"/>
  <c r="O3" i="2"/>
  <c r="M3" i="2"/>
  <c r="N3" i="2" s="1"/>
  <c r="K3" i="2"/>
  <c r="I3" i="2"/>
  <c r="J3" i="2" s="1"/>
  <c r="G3" i="2"/>
  <c r="H3" i="2" s="1"/>
  <c r="W2" i="2"/>
  <c r="U2" i="2"/>
  <c r="V2" i="2" s="1"/>
  <c r="S2" i="2"/>
  <c r="Q2" i="2"/>
  <c r="P2" i="2"/>
  <c r="O2" i="2"/>
  <c r="M2" i="2"/>
  <c r="N2" i="2" s="1"/>
  <c r="K2" i="2"/>
  <c r="I2" i="2"/>
  <c r="J2" i="2" s="1"/>
  <c r="G2" i="2"/>
  <c r="F11" i="5" l="1"/>
  <c r="F12" i="5"/>
  <c r="D11" i="5"/>
  <c r="D9" i="5"/>
  <c r="D12" i="5"/>
  <c r="F6" i="5"/>
  <c r="D10" i="5"/>
  <c r="O58" i="2"/>
  <c r="I58" i="2"/>
  <c r="U58" i="2"/>
  <c r="W45" i="2"/>
  <c r="I57" i="2"/>
  <c r="U57" i="2"/>
  <c r="U83" i="2"/>
  <c r="V104" i="2"/>
  <c r="X104" i="2" s="1"/>
  <c r="Y104" i="2"/>
  <c r="Z104" i="2" s="1"/>
  <c r="Q23" i="2"/>
  <c r="G51" i="2"/>
  <c r="W50" i="2"/>
  <c r="O56" i="2"/>
  <c r="U56" i="2"/>
  <c r="I56" i="2"/>
  <c r="I74" i="2"/>
  <c r="K96" i="2"/>
  <c r="G117" i="2"/>
  <c r="G39" i="2"/>
  <c r="O62" i="2"/>
  <c r="I62" i="2"/>
  <c r="U62" i="2"/>
  <c r="H2" i="2"/>
  <c r="H10" i="2" s="1"/>
  <c r="J27" i="2"/>
  <c r="Q21" i="2"/>
  <c r="G47" i="2"/>
  <c r="G49" i="2"/>
  <c r="I61" i="2"/>
  <c r="U61" i="2"/>
  <c r="Z106" i="2"/>
  <c r="E122" i="2"/>
  <c r="G114" i="2"/>
  <c r="N51" i="2"/>
  <c r="O43" i="2"/>
  <c r="U55" i="2"/>
  <c r="O55" i="2"/>
  <c r="I55" i="2"/>
  <c r="Q96" i="2"/>
  <c r="I85" i="2"/>
  <c r="V100" i="2"/>
  <c r="X100" i="2" s="1"/>
  <c r="Y100" i="2"/>
  <c r="Z100" i="2" s="1"/>
  <c r="O57" i="2"/>
  <c r="O60" i="2"/>
  <c r="U60" i="2"/>
  <c r="I60" i="2"/>
  <c r="O85" i="2"/>
  <c r="U79" i="2"/>
  <c r="F100" i="2"/>
  <c r="H100" i="2" s="1"/>
  <c r="T26" i="2"/>
  <c r="Q26" i="2" s="1"/>
  <c r="T19" i="2"/>
  <c r="Q19" i="2" s="1"/>
  <c r="U33" i="2"/>
  <c r="S33" i="2" s="1"/>
  <c r="S39" i="2" s="1"/>
  <c r="O114" i="2"/>
  <c r="W48" i="2"/>
  <c r="M39" i="2"/>
  <c r="O74" i="2"/>
  <c r="U74" i="2"/>
  <c r="N10" i="2"/>
  <c r="G34" i="2"/>
  <c r="G59" i="2"/>
  <c r="U85" i="2"/>
  <c r="W96" i="2"/>
  <c r="V103" i="2"/>
  <c r="X103" i="2" s="1"/>
  <c r="V107" i="2"/>
  <c r="X107" i="2" s="1"/>
  <c r="U114" i="2"/>
  <c r="U118" i="2"/>
  <c r="W118" i="2" s="1"/>
  <c r="Y116" i="2"/>
  <c r="Y120" i="2"/>
  <c r="I103" i="2"/>
  <c r="J103" i="2" s="1"/>
  <c r="H103" i="2" s="1"/>
  <c r="I107" i="2"/>
  <c r="J107" i="2" s="1"/>
  <c r="H114" i="2"/>
  <c r="I114" i="2" s="1"/>
  <c r="H118" i="2"/>
  <c r="I118" i="2" s="1"/>
  <c r="N100" i="2"/>
  <c r="P100" i="2" s="1"/>
  <c r="P108" i="2" s="1"/>
  <c r="Q101" i="2"/>
  <c r="R101" i="2" s="1"/>
  <c r="N104" i="2"/>
  <c r="P104" i="2" s="1"/>
  <c r="Q105" i="2"/>
  <c r="R105" i="2" s="1"/>
  <c r="M115" i="2"/>
  <c r="O115" i="2" s="1"/>
  <c r="P116" i="2"/>
  <c r="Q116" i="2" s="1"/>
  <c r="M119" i="2"/>
  <c r="O119" i="2" s="1"/>
  <c r="P120" i="2"/>
  <c r="Q120" i="2" s="1"/>
  <c r="U117" i="2"/>
  <c r="W117" i="2" s="1"/>
  <c r="U121" i="2"/>
  <c r="W121" i="2" s="1"/>
  <c r="E116" i="2"/>
  <c r="G116" i="2" s="1"/>
  <c r="E120" i="2"/>
  <c r="G120" i="2" s="1"/>
  <c r="T2" i="2"/>
  <c r="T10" i="2" s="1"/>
  <c r="T6" i="2"/>
  <c r="S79" i="2"/>
  <c r="S83" i="2"/>
  <c r="U122" i="2" l="1"/>
  <c r="W114" i="2"/>
  <c r="G118" i="2"/>
  <c r="M122" i="2"/>
  <c r="O120" i="2"/>
  <c r="X108" i="2"/>
  <c r="U59" i="2"/>
  <c r="U63" i="2" s="1"/>
  <c r="O59" i="2"/>
  <c r="O63" i="2" s="1"/>
  <c r="I59" i="2"/>
  <c r="I63" i="2" s="1"/>
  <c r="Q27" i="2"/>
  <c r="O116" i="2"/>
  <c r="H108" i="2"/>
  <c r="A137" i="1" l="1"/>
  <c r="G127" i="1"/>
  <c r="G128" i="1"/>
  <c r="G129" i="1"/>
  <c r="G130" i="1"/>
  <c r="G131" i="1"/>
  <c r="G132" i="1"/>
  <c r="G133" i="1"/>
  <c r="G126" i="1"/>
  <c r="H111" i="1"/>
  <c r="E68" i="1"/>
  <c r="E69" i="1"/>
  <c r="E70" i="1"/>
  <c r="E67" i="1"/>
  <c r="I126" i="1"/>
  <c r="I127" i="1"/>
  <c r="I128" i="1"/>
  <c r="I129" i="1"/>
  <c r="I130" i="1"/>
  <c r="I131" i="1"/>
  <c r="I132" i="1"/>
  <c r="I133" i="1"/>
  <c r="J133" i="1"/>
  <c r="H133" i="1"/>
  <c r="F133" i="1"/>
  <c r="J132" i="1"/>
  <c r="H132" i="1"/>
  <c r="F132" i="1"/>
  <c r="J131" i="1"/>
  <c r="H131" i="1"/>
  <c r="F131" i="1"/>
  <c r="J130" i="1"/>
  <c r="H130" i="1"/>
  <c r="F130" i="1"/>
  <c r="J129" i="1"/>
  <c r="H129" i="1"/>
  <c r="F129" i="1"/>
  <c r="J128" i="1"/>
  <c r="H128" i="1"/>
  <c r="F128" i="1"/>
  <c r="J127" i="1"/>
  <c r="H127" i="1"/>
  <c r="F127" i="1"/>
  <c r="J126" i="1"/>
  <c r="H126" i="1"/>
  <c r="F126" i="1"/>
  <c r="C122" i="1"/>
  <c r="K118" i="1"/>
  <c r="I118" i="1"/>
  <c r="G118" i="1"/>
  <c r="H118" i="1" s="1"/>
  <c r="J118" i="1" s="1"/>
  <c r="K117" i="1"/>
  <c r="I117" i="1"/>
  <c r="G117" i="1"/>
  <c r="H117" i="1" s="1"/>
  <c r="J117" i="1" s="1"/>
  <c r="K116" i="1"/>
  <c r="I116" i="1"/>
  <c r="G116" i="1"/>
  <c r="H116" i="1" s="1"/>
  <c r="J116" i="1" s="1"/>
  <c r="K115" i="1"/>
  <c r="I115" i="1"/>
  <c r="G115" i="1"/>
  <c r="H115" i="1" s="1"/>
  <c r="J115" i="1" s="1"/>
  <c r="K114" i="1"/>
  <c r="I114" i="1"/>
  <c r="G114" i="1"/>
  <c r="H114" i="1" s="1"/>
  <c r="J114" i="1" s="1"/>
  <c r="K113" i="1"/>
  <c r="I113" i="1"/>
  <c r="G113" i="1"/>
  <c r="H113" i="1" s="1"/>
  <c r="J113" i="1" s="1"/>
  <c r="K112" i="1"/>
  <c r="I112" i="1"/>
  <c r="G112" i="1"/>
  <c r="H112" i="1" s="1"/>
  <c r="J112" i="1" s="1"/>
  <c r="K111" i="1"/>
  <c r="I111" i="1"/>
  <c r="G111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89" i="1"/>
  <c r="M89" i="1"/>
  <c r="O104" i="1"/>
  <c r="M104" i="1"/>
  <c r="K104" i="1"/>
  <c r="O103" i="1"/>
  <c r="M103" i="1"/>
  <c r="K103" i="1"/>
  <c r="O102" i="1"/>
  <c r="M102" i="1"/>
  <c r="K102" i="1"/>
  <c r="O101" i="1"/>
  <c r="M101" i="1"/>
  <c r="K101" i="1"/>
  <c r="O100" i="1"/>
  <c r="M100" i="1"/>
  <c r="K100" i="1"/>
  <c r="O99" i="1"/>
  <c r="M99" i="1"/>
  <c r="K99" i="1"/>
  <c r="O98" i="1"/>
  <c r="M98" i="1"/>
  <c r="K98" i="1"/>
  <c r="O97" i="1"/>
  <c r="M97" i="1"/>
  <c r="K97" i="1"/>
  <c r="O96" i="1"/>
  <c r="M96" i="1"/>
  <c r="K96" i="1"/>
  <c r="O95" i="1"/>
  <c r="M95" i="1"/>
  <c r="K95" i="1"/>
  <c r="O94" i="1"/>
  <c r="M94" i="1"/>
  <c r="K94" i="1"/>
  <c r="O93" i="1"/>
  <c r="M93" i="1"/>
  <c r="K93" i="1"/>
  <c r="O92" i="1"/>
  <c r="M92" i="1"/>
  <c r="K92" i="1"/>
  <c r="O91" i="1"/>
  <c r="M91" i="1"/>
  <c r="K91" i="1"/>
  <c r="O90" i="1"/>
  <c r="M90" i="1"/>
  <c r="K90" i="1"/>
  <c r="O89" i="1"/>
  <c r="K89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H77" i="1"/>
  <c r="H78" i="1"/>
  <c r="H79" i="1"/>
  <c r="H80" i="1"/>
  <c r="H81" i="1"/>
  <c r="H82" i="1"/>
  <c r="H83" i="1"/>
  <c r="H84" i="1"/>
  <c r="E77" i="1"/>
  <c r="F77" i="1" s="1"/>
  <c r="F78" i="1"/>
  <c r="F79" i="1"/>
  <c r="F80" i="1"/>
  <c r="F81" i="1"/>
  <c r="F82" i="1"/>
  <c r="F83" i="1"/>
  <c r="F84" i="1"/>
  <c r="I84" i="1"/>
  <c r="I82" i="1"/>
  <c r="I80" i="1"/>
  <c r="I78" i="1"/>
  <c r="I83" i="1"/>
  <c r="I81" i="1"/>
  <c r="I79" i="1"/>
  <c r="I77" i="1"/>
  <c r="G84" i="1"/>
  <c r="G83" i="1"/>
  <c r="G82" i="1"/>
  <c r="G81" i="1"/>
  <c r="G78" i="1"/>
  <c r="G77" i="1"/>
  <c r="E84" i="1"/>
  <c r="E83" i="1"/>
  <c r="E82" i="1"/>
  <c r="E81" i="1"/>
  <c r="G80" i="1"/>
  <c r="G79" i="1"/>
  <c r="E80" i="1"/>
  <c r="E79" i="1"/>
  <c r="E78" i="1"/>
  <c r="F46" i="1"/>
  <c r="F40" i="1"/>
  <c r="F41" i="1"/>
  <c r="F42" i="1"/>
  <c r="F39" i="1"/>
  <c r="F32" i="1"/>
  <c r="F33" i="1"/>
  <c r="F34" i="1"/>
  <c r="F35" i="1"/>
  <c r="F54" i="1"/>
  <c r="F55" i="1"/>
  <c r="F56" i="1"/>
  <c r="F53" i="1"/>
  <c r="F17" i="1"/>
  <c r="G17" i="1"/>
  <c r="E10" i="1"/>
  <c r="E3" i="1"/>
  <c r="D69" i="1"/>
  <c r="D70" i="1"/>
  <c r="F70" i="1"/>
  <c r="F68" i="1"/>
  <c r="D68" i="1"/>
  <c r="F69" i="1"/>
  <c r="F67" i="1"/>
  <c r="D67" i="1"/>
  <c r="E60" i="1"/>
  <c r="E61" i="1"/>
  <c r="E62" i="1"/>
  <c r="E63" i="1"/>
  <c r="D62" i="1"/>
  <c r="D63" i="1"/>
  <c r="F63" i="1"/>
  <c r="F61" i="1"/>
  <c r="F62" i="1"/>
  <c r="F60" i="1"/>
  <c r="D61" i="1"/>
  <c r="D60" i="1"/>
  <c r="E56" i="1"/>
  <c r="E55" i="1"/>
  <c r="G56" i="1"/>
  <c r="G54" i="1"/>
  <c r="G55" i="1"/>
  <c r="G53" i="1"/>
  <c r="E54" i="1"/>
  <c r="E53" i="1"/>
  <c r="F47" i="1"/>
  <c r="F48" i="1"/>
  <c r="F49" i="1"/>
  <c r="E48" i="1"/>
  <c r="E49" i="1"/>
  <c r="G49" i="1"/>
  <c r="G47" i="1"/>
  <c r="G48" i="1"/>
  <c r="G46" i="1"/>
  <c r="E47" i="1"/>
  <c r="E46" i="1"/>
  <c r="E41" i="1"/>
  <c r="E42" i="1"/>
  <c r="G42" i="1"/>
  <c r="G40" i="1"/>
  <c r="G41" i="1"/>
  <c r="G39" i="1"/>
  <c r="E40" i="1"/>
  <c r="E39" i="1"/>
  <c r="G35" i="1"/>
  <c r="E35" i="1"/>
  <c r="G34" i="1"/>
  <c r="E34" i="1"/>
  <c r="G33" i="1"/>
  <c r="E33" i="1"/>
  <c r="G32" i="1"/>
  <c r="E32" i="1"/>
  <c r="D25" i="1"/>
  <c r="C25" i="1"/>
  <c r="D24" i="1"/>
  <c r="C24" i="1"/>
  <c r="E13" i="1"/>
  <c r="F19" i="1"/>
  <c r="G20" i="1"/>
  <c r="G19" i="1"/>
  <c r="E20" i="1"/>
  <c r="F20" i="1" s="1"/>
  <c r="E18" i="1"/>
  <c r="F18" i="1" s="1"/>
  <c r="G18" i="1"/>
  <c r="E19" i="1"/>
  <c r="E17" i="1"/>
  <c r="D13" i="1"/>
  <c r="F10" i="1"/>
  <c r="D11" i="1"/>
  <c r="E11" i="1" s="1"/>
  <c r="F13" i="1"/>
  <c r="F12" i="1"/>
  <c r="F11" i="1"/>
  <c r="D12" i="1"/>
  <c r="E12" i="1" s="1"/>
  <c r="D10" i="1"/>
  <c r="E4" i="1"/>
  <c r="F3" i="1"/>
  <c r="D3" i="1"/>
  <c r="F6" i="1"/>
  <c r="D6" i="1"/>
  <c r="E6" i="1" s="1"/>
  <c r="F5" i="1"/>
  <c r="D5" i="1"/>
  <c r="E5" i="1" s="1"/>
  <c r="F4" i="1"/>
  <c r="D4" i="1"/>
  <c r="J111" i="1" l="1"/>
  <c r="D122" i="1"/>
</calcChain>
</file>

<file path=xl/sharedStrings.xml><?xml version="1.0" encoding="utf-8"?>
<sst xmlns="http://schemas.openxmlformats.org/spreadsheetml/2006/main" count="418" uniqueCount="168">
  <si>
    <t>3)</t>
  </si>
  <si>
    <t>hablamos hoy o mañana</t>
  </si>
  <si>
    <t>p= hablamos hoy</t>
  </si>
  <si>
    <t>q= mañana</t>
  </si>
  <si>
    <t>conector= o</t>
  </si>
  <si>
    <t>p</t>
  </si>
  <si>
    <t>o</t>
  </si>
  <si>
    <t>q</t>
  </si>
  <si>
    <t>4)</t>
  </si>
  <si>
    <t>el elefante es grande y de color gris</t>
  </si>
  <si>
    <t>y</t>
  </si>
  <si>
    <t>p= el elefante es grande</t>
  </si>
  <si>
    <t>q = de color gris</t>
  </si>
  <si>
    <t xml:space="preserve">conector  y </t>
  </si>
  <si>
    <t>5)</t>
  </si>
  <si>
    <t>si compro el auto entonces ire de viaje</t>
  </si>
  <si>
    <t>p = si compro el auto</t>
  </si>
  <si>
    <t>q = ire de viaje</t>
  </si>
  <si>
    <t>conector = si… entonces</t>
  </si>
  <si>
    <t>.==&gt;</t>
  </si>
  <si>
    <t>6)</t>
  </si>
  <si>
    <t>no tengo frio</t>
  </si>
  <si>
    <t>no p</t>
  </si>
  <si>
    <t>7)</t>
  </si>
  <si>
    <t>hoy voy a trabajar si me duplican el pago</t>
  </si>
  <si>
    <t>p = hoy voy a trabajar</t>
  </si>
  <si>
    <t>q = duplican el pago</t>
  </si>
  <si>
    <t>.&lt;====&gt;</t>
  </si>
  <si>
    <t>8)</t>
  </si>
  <si>
    <t>tengo sueño</t>
  </si>
  <si>
    <t>9)</t>
  </si>
  <si>
    <t>p = una lata de pintura</t>
  </si>
  <si>
    <t>q = pintar la casa</t>
  </si>
  <si>
    <t>una lata de pintura es necesaria para pintar la casa</t>
  </si>
  <si>
    <t>.===&gt;</t>
  </si>
  <si>
    <t>10)</t>
  </si>
  <si>
    <t>el perro ladra si solo si hay gente en la puerta</t>
  </si>
  <si>
    <t>p = el perro ladra</t>
  </si>
  <si>
    <t>q = hay gente en la puerta</t>
  </si>
  <si>
    <t>11)</t>
  </si>
  <si>
    <t>miguel tiene moto o juan tiene lancha</t>
  </si>
  <si>
    <t>p = miguel tiene moto</t>
  </si>
  <si>
    <t>q = juan tiene lancha</t>
  </si>
  <si>
    <t>12)</t>
  </si>
  <si>
    <t>es mayor de 15 y menor de 30</t>
  </si>
  <si>
    <t>p = es mayor de 15</t>
  </si>
  <si>
    <t>q = menor de 30</t>
  </si>
  <si>
    <t>13)</t>
  </si>
  <si>
    <t>es mayor que 60 o menor que 30</t>
  </si>
  <si>
    <t>p = es mayor que 60</t>
  </si>
  <si>
    <t>q = es menor que 30</t>
  </si>
  <si>
    <t>15)</t>
  </si>
  <si>
    <t>p = esta lloviendo</t>
  </si>
  <si>
    <t xml:space="preserve">q = nevando </t>
  </si>
  <si>
    <t>r = esta soplando el viento</t>
  </si>
  <si>
    <t xml:space="preserve">esta lloviendo y nevando o esta soplando el viento </t>
  </si>
  <si>
    <t xml:space="preserve">p </t>
  </si>
  <si>
    <t>r</t>
  </si>
  <si>
    <t>19)</t>
  </si>
  <si>
    <t>Si un perro hablara o pudiera volar, entonces me haría ver la cabeza y me internaría en un psiquiátrico.</t>
  </si>
  <si>
    <t>P=si un perro hablara</t>
  </si>
  <si>
    <t>s</t>
  </si>
  <si>
    <t>q= pudiera volar</t>
  </si>
  <si>
    <t>r= me haria ver la cabeza</t>
  </si>
  <si>
    <t xml:space="preserve">q </t>
  </si>
  <si>
    <t>s= me internaria en un psiquiatrico</t>
  </si>
  <si>
    <t>20)</t>
  </si>
  <si>
    <t>si el perro no me mordiera entonces la daria de comer y lo acariciaria</t>
  </si>
  <si>
    <t>p= si el perro mordiera</t>
  </si>
  <si>
    <t>q= le daria de comer</t>
  </si>
  <si>
    <t>r= lo acariciaria</t>
  </si>
  <si>
    <t>14)</t>
  </si>
  <si>
    <t>No soy tenista.</t>
  </si>
  <si>
    <t>~p</t>
  </si>
  <si>
    <t>16)</t>
  </si>
  <si>
    <t>compre un caramelo entonces lo como o lo tiro.</t>
  </si>
  <si>
    <t>p= compre un caramelo</t>
  </si>
  <si>
    <t>q= lo como</t>
  </si>
  <si>
    <t>r= lo tiro</t>
  </si>
  <si>
    <t>(~)p</t>
  </si>
  <si>
    <t>1) Puedo manejar un auto si solos si tiene dirección hidráulica o tiene baúl.</t>
  </si>
  <si>
    <t xml:space="preserve">p= puedo manejar un auto </t>
  </si>
  <si>
    <t>q=tiene direccion hidraulica</t>
  </si>
  <si>
    <t>r=tiene baul</t>
  </si>
  <si>
    <t>p &lt;---&gt; q V r</t>
  </si>
  <si>
    <t>2)Gabriel García Márquez fue un gran escritor entonces no será siempre recordado y</t>
  </si>
  <si>
    <t>siempre será admirado.</t>
  </si>
  <si>
    <t>p= ggm fue un gran escritor</t>
  </si>
  <si>
    <t>q= sera siempre recordado</t>
  </si>
  <si>
    <t>r=siempre sera admirado</t>
  </si>
  <si>
    <t>p ----&gt; q (~q) ^ r</t>
  </si>
  <si>
    <t>no q (~)</t>
  </si>
  <si>
    <t>3) Comprare una casa y comprare un auto si gano la lotería.</t>
  </si>
  <si>
    <t>p=comprare una casa</t>
  </si>
  <si>
    <t>.====&gt;</t>
  </si>
  <si>
    <t xml:space="preserve">q=comprare un auto </t>
  </si>
  <si>
    <t>r=gano la loteria</t>
  </si>
  <si>
    <t>p ^ q ==&gt; r</t>
  </si>
  <si>
    <t xml:space="preserve">4)No todos los números primos son impares </t>
  </si>
  <si>
    <t>entonces el dos es primo y el numero 14 no lo es.</t>
  </si>
  <si>
    <t>~p(no)</t>
  </si>
  <si>
    <t>(q</t>
  </si>
  <si>
    <t>~r(no) )</t>
  </si>
  <si>
    <t>~r(no)</t>
  </si>
  <si>
    <t>p=todos los numeros primos son impares</t>
  </si>
  <si>
    <t>q=el dos es primo</t>
  </si>
  <si>
    <t>r=numero 14</t>
  </si>
  <si>
    <t>(~p ===&gt; q ^ ~r)</t>
  </si>
  <si>
    <t>5)Mi cuñado será arquitecto o ingeniero y será albañil.</t>
  </si>
  <si>
    <t>p=mi cuñado sera arquitecto</t>
  </si>
  <si>
    <t>q= ingeniero</t>
  </si>
  <si>
    <t>r=sera albañil</t>
  </si>
  <si>
    <t>(p V q ^ r)</t>
  </si>
  <si>
    <t>6)Los aparatos tecnológicos son negros, blancos o grises.</t>
  </si>
  <si>
    <t>p=los aparatos tecnologicos son negros</t>
  </si>
  <si>
    <t>q=son blancos</t>
  </si>
  <si>
    <t>r=son grises</t>
  </si>
  <si>
    <t>p V q V r</t>
  </si>
  <si>
    <t>7)Si tengo hambre pues cocino si solo si me deja mi esposa.</t>
  </si>
  <si>
    <t>p=tengo hambre</t>
  </si>
  <si>
    <t>.&lt;===&gt;</t>
  </si>
  <si>
    <t>q=cocino</t>
  </si>
  <si>
    <t>r=me deja mi esposa</t>
  </si>
  <si>
    <t>p .==&gt; q &lt;==&gt; r</t>
  </si>
  <si>
    <t>8)Turquía es un país que se encuentra en Asia y Europa entonces visitarlo costaría</t>
  </si>
  <si>
    <t>mucho.</t>
  </si>
  <si>
    <t>p=turquia es un pais q se encuentra en asia</t>
  </si>
  <si>
    <t>q=europa</t>
  </si>
  <si>
    <t>r=visitarlo costaria mucho</t>
  </si>
  <si>
    <t>p ^ q .===&gt; r</t>
  </si>
  <si>
    <t xml:space="preserve">9) SI argentina gana, festejare toda la </t>
  </si>
  <si>
    <t>noche o sino me ire a dormir temprano.</t>
  </si>
  <si>
    <t>~p (no)</t>
  </si>
  <si>
    <t>p=argentina</t>
  </si>
  <si>
    <t>q=festejare toda la noche</t>
  </si>
  <si>
    <t>r=me ire a dormir temprano</t>
  </si>
  <si>
    <t>p ==&gt; q V ~p .==&gt; r</t>
  </si>
  <si>
    <t>10) Comprare un auto y viajare por el país o no lo compro y me voy en avión.</t>
  </si>
  <si>
    <t>p= comprare un auto</t>
  </si>
  <si>
    <t>q= viajare por el pais</t>
  </si>
  <si>
    <t>no p (~)=  no lo compro</t>
  </si>
  <si>
    <t>s= me voy en avion</t>
  </si>
  <si>
    <t>no p (~)</t>
  </si>
  <si>
    <t>p ^ q V ~r ^ s</t>
  </si>
  <si>
    <t>COMPUESTA (p ∧ q) &lt;----&gt; (r ∧ ~s)</t>
  </si>
  <si>
    <t>.&lt;---&gt;</t>
  </si>
  <si>
    <t>~s</t>
  </si>
  <si>
    <t xml:space="preserve">g) El avión es chico y tiene poco combustible entonces cargo pocas valijas o no cargo pasajeros. </t>
  </si>
  <si>
    <t xml:space="preserve">f) Compro el diario y compro una gaseosa si solo si me pongo a buscar trabajo y no voy a clases. </t>
  </si>
  <si>
    <t>COMPUESTA (p ∧ q) --&gt; (r V ~s)</t>
  </si>
  <si>
    <t>.---&gt;</t>
  </si>
  <si>
    <t xml:space="preserve">F) Compro el diario y compro una gaseosa si solo si me pongo a charlar con mi madre. </t>
  </si>
  <si>
    <t xml:space="preserve">(p ∧ q) .&lt;==&gt; (r) </t>
  </si>
  <si>
    <t>.--&gt;</t>
  </si>
  <si>
    <t>.&lt;--&gt;</t>
  </si>
  <si>
    <t xml:space="preserve">G) El Caballo es malo o el domador no lo entiende entonces cambio de establo y no lo montare. </t>
  </si>
  <si>
    <t>(p∨~q) .==&gt; (r∧~s)</t>
  </si>
  <si>
    <t>F) Compro el diario o compro una gaseosa si solo si no tengo que trabajar.</t>
  </si>
  <si>
    <t xml:space="preserve"> (p V q) .&lt;---&gt; (~r)</t>
  </si>
  <si>
    <t>~r</t>
  </si>
  <si>
    <t>G) El perro es chico y no es cachorro entonces cambio de raza y es cachorro.</t>
  </si>
  <si>
    <t>~q</t>
  </si>
  <si>
    <t>(p ∧ ~q) .--&gt; (r ∧ q)</t>
  </si>
  <si>
    <t xml:space="preserve">F) Estudio un rato o compro una gaseosa si solo si no puedo evitar a mi madre. </t>
  </si>
  <si>
    <t>(p V q).&lt;--&gt; (~r)</t>
  </si>
  <si>
    <t xml:space="preserve">G) El día esta frio y salgo a correr entonces me abrigare mucho si solo si el día está frio. </t>
  </si>
  <si>
    <t>(p ʌ q) .--&gt; (r .&lt;--&gt; p)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</si>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</sst>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9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8" tint="0.39997558519241921"/>
      </left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  <border>
      <left style="thin">
        <color theme="8" tint="0.39997558519241921"/>
      </left>
      <right style="thin">
        <color theme="8" tint="0.39997558519241921"/>
      </right>
      <top style="thin">
        <color theme="8" tint="0.39997558519241921"/>
      </top>
      <bottom/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/>
      <right/>
      <top style="thin">
        <color theme="8" tint="0.39997558519241921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/>
      <right/>
      <top style="thin">
        <color theme="0" tint="-0.249977111117893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quotePrefix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4" borderId="0" xfId="0" applyFill="1"/>
    <xf numFmtId="0" fontId="0" fillId="0" borderId="1" xfId="0" applyBorder="1"/>
    <xf numFmtId="0" fontId="0" fillId="4" borderId="7" xfId="0" applyFill="1" applyBorder="1"/>
    <xf numFmtId="0" fontId="0" fillId="4" borderId="1" xfId="0" applyFill="1" applyBorder="1"/>
    <xf numFmtId="0" fontId="2" fillId="4" borderId="7" xfId="0" applyFont="1" applyFill="1" applyBorder="1"/>
    <xf numFmtId="0" fontId="2" fillId="4" borderId="1" xfId="0" applyFont="1" applyFill="1" applyBorder="1"/>
    <xf numFmtId="0" fontId="0" fillId="4" borderId="10" xfId="0" applyFill="1" applyBorder="1"/>
    <xf numFmtId="0" fontId="0" fillId="4" borderId="9" xfId="0" applyFill="1" applyBorder="1"/>
    <xf numFmtId="0" fontId="0" fillId="4" borderId="11" xfId="0" applyFill="1" applyBorder="1"/>
    <xf numFmtId="0" fontId="2" fillId="4" borderId="13" xfId="0" applyFont="1" applyFill="1" applyBorder="1"/>
    <xf numFmtId="0" fontId="2" fillId="4" borderId="6" xfId="0" applyFont="1" applyFill="1" applyBorder="1"/>
    <xf numFmtId="0" fontId="0" fillId="0" borderId="12" xfId="0" applyBorder="1"/>
    <xf numFmtId="0" fontId="0" fillId="4" borderId="12" xfId="0" applyFill="1" applyBorder="1"/>
    <xf numFmtId="0" fontId="0" fillId="0" borderId="14" xfId="0" applyBorder="1"/>
    <xf numFmtId="0" fontId="0" fillId="0" borderId="15" xfId="0" applyBorder="1"/>
    <xf numFmtId="0" fontId="0" fillId="2" borderId="15" xfId="0" applyFill="1" applyBorder="1"/>
    <xf numFmtId="0" fontId="0" fillId="3" borderId="15" xfId="0" applyFill="1" applyBorder="1"/>
    <xf numFmtId="0" fontId="1" fillId="3" borderId="15" xfId="0" applyFont="1" applyFill="1" applyBorder="1"/>
    <xf numFmtId="0" fontId="0" fillId="4" borderId="16" xfId="0" applyFill="1" applyBorder="1"/>
    <xf numFmtId="0" fontId="0" fillId="4" borderId="17" xfId="0" applyFill="1" applyBorder="1"/>
    <xf numFmtId="0" fontId="0" fillId="4" borderId="18" xfId="0" applyFill="1" applyBorder="1"/>
    <xf numFmtId="0" fontId="0" fillId="4" borderId="5" xfId="0" applyFill="1" applyBorder="1"/>
    <xf numFmtId="0" fontId="2" fillId="4" borderId="19" xfId="0" applyFont="1" applyFill="1" applyBorder="1"/>
    <xf numFmtId="0" fontId="2" fillId="4" borderId="20" xfId="0" applyFont="1" applyFill="1" applyBorder="1"/>
    <xf numFmtId="0" fontId="0" fillId="4" borderId="8" xfId="0" applyFill="1" applyBorder="1"/>
    <xf numFmtId="0" fontId="0" fillId="0" borderId="8" xfId="0" applyBorder="1"/>
    <xf numFmtId="0" fontId="0" fillId="4" borderId="21" xfId="0" applyFill="1" applyBorder="1"/>
    <xf numFmtId="0" fontId="2" fillId="4" borderId="22" xfId="0" applyFont="1" applyFill="1" applyBorder="1"/>
    <xf numFmtId="0" fontId="0" fillId="0" borderId="5" xfId="0" applyBorder="1"/>
    <xf numFmtId="0" fontId="0" fillId="6" borderId="15" xfId="0" applyFill="1" applyBorder="1"/>
    <xf numFmtId="0" fontId="0" fillId="6" borderId="23" xfId="0" applyFill="1" applyBorder="1"/>
    <xf numFmtId="0" fontId="0" fillId="0" borderId="24" xfId="0" applyBorder="1"/>
    <xf numFmtId="0" fontId="0" fillId="6" borderId="25" xfId="0" applyFill="1" applyBorder="1"/>
    <xf numFmtId="0" fontId="0" fillId="2" borderId="26" xfId="0" applyFill="1" applyBorder="1"/>
    <xf numFmtId="0" fontId="0" fillId="6" borderId="27" xfId="0" applyFill="1" applyBorder="1"/>
    <xf numFmtId="0" fontId="0" fillId="2" borderId="28" xfId="0" applyFill="1" applyBorder="1"/>
    <xf numFmtId="0" fontId="0" fillId="5" borderId="15" xfId="0" applyFill="1" applyBorder="1"/>
    <xf numFmtId="0" fontId="0" fillId="7" borderId="15" xfId="0" applyFill="1" applyBorder="1"/>
    <xf numFmtId="0" fontId="0" fillId="2" borderId="15" xfId="0" applyFont="1" applyFill="1" applyBorder="1"/>
    <xf numFmtId="0" fontId="0" fillId="0" borderId="0" xfId="0" applyBorder="1"/>
    <xf numFmtId="0" fontId="0" fillId="8" borderId="15" xfId="0" applyFill="1" applyBorder="1"/>
    <xf numFmtId="0" fontId="3" fillId="0" borderId="0" xfId="0" applyFont="1" applyAlignment="1">
      <alignment vertical="center"/>
    </xf>
    <xf numFmtId="0" fontId="1" fillId="8" borderId="15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2A6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205740</xdr:colOff>
      <xdr:row>43</xdr:row>
      <xdr:rowOff>160020</xdr:rowOff>
    </xdr:from>
    <xdr:to>
      <xdr:col>6</xdr:col>
      <xdr:colOff>472335</xdr:colOff>
      <xdr:row>64</xdr:row>
      <xdr:rowOff>175262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595B769-1FCE-443B-BE9F-FB6D03AECF9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3702"/>
        <a:stretch/>
      </xdr:blipFill>
      <xdr:spPr bwMode="auto">
        <a:xfrm>
          <a:off x="960120" y="8023860"/>
          <a:ext cx="4228995" cy="38557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4</xdr:col>
      <xdr:colOff>449580</xdr:colOff>
      <xdr:row>60</xdr:row>
      <xdr:rowOff>152400</xdr:rowOff>
    </xdr:from>
    <xdr:ext cx="906780" cy="264560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1A4FA08B-A8CC-4D0C-89B2-4BB17E3C4789}"/>
            </a:ext>
          </a:extLst>
        </xdr:cNvPr>
        <xdr:cNvSpPr txBox="1"/>
      </xdr:nvSpPr>
      <xdr:spPr>
        <a:xfrm>
          <a:off x="3581400" y="11125200"/>
          <a:ext cx="90678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AR" sz="1100"/>
            <a:t>Cuarentena</a:t>
          </a:r>
        </a:p>
      </xdr:txBody>
    </xdr:sp>
    <xdr:clientData/>
  </xdr:oneCellAnchor>
  <xdr:oneCellAnchor>
    <xdr:from>
      <xdr:col>5</xdr:col>
      <xdr:colOff>266700</xdr:colOff>
      <xdr:row>47</xdr:row>
      <xdr:rowOff>152400</xdr:rowOff>
    </xdr:from>
    <xdr:ext cx="609600" cy="436786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E5C84A1C-EC29-4ECF-B618-1EDB629159CA}"/>
            </a:ext>
          </a:extLst>
        </xdr:cNvPr>
        <xdr:cNvSpPr txBox="1"/>
      </xdr:nvSpPr>
      <xdr:spPr>
        <a:xfrm>
          <a:off x="4191000" y="8747760"/>
          <a:ext cx="609600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AR" sz="1100"/>
            <a:t>Alcohol</a:t>
          </a:r>
          <a:r>
            <a:rPr lang="es-AR" sz="1100" baseline="0"/>
            <a:t> gel</a:t>
          </a:r>
          <a:endParaRPr lang="es-AR" sz="1100"/>
        </a:p>
      </xdr:txBody>
    </xdr:sp>
    <xdr:clientData/>
  </xdr:oneCellAnchor>
  <xdr:oneCellAnchor>
    <xdr:from>
      <xdr:col>1</xdr:col>
      <xdr:colOff>518160</xdr:colOff>
      <xdr:row>47</xdr:row>
      <xdr:rowOff>106680</xdr:rowOff>
    </xdr:from>
    <xdr:ext cx="777240" cy="436786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0C8A4931-B4F6-4833-86AE-650AFF48EA70}"/>
            </a:ext>
          </a:extLst>
        </xdr:cNvPr>
        <xdr:cNvSpPr txBox="1"/>
      </xdr:nvSpPr>
      <xdr:spPr>
        <a:xfrm>
          <a:off x="1272540" y="8702040"/>
          <a:ext cx="777240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AR" sz="1100"/>
            <a:t>Molesta</a:t>
          </a:r>
          <a:r>
            <a:rPr lang="es-AR" sz="1100" baseline="0"/>
            <a:t> pandemia</a:t>
          </a:r>
          <a:endParaRPr lang="es-AR" sz="1100"/>
        </a:p>
      </xdr:txBody>
    </xdr:sp>
    <xdr:clientData/>
  </xdr:oneCellAnchor>
  <xdr:oneCellAnchor>
    <xdr:from>
      <xdr:col>5</xdr:col>
      <xdr:colOff>281940</xdr:colOff>
      <xdr:row>57</xdr:row>
      <xdr:rowOff>175260</xdr:rowOff>
    </xdr:from>
    <xdr:ext cx="609600" cy="311496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7C56F383-41B5-4DAD-ADA7-3BDF25A153D3}"/>
            </a:ext>
          </a:extLst>
        </xdr:cNvPr>
        <xdr:cNvSpPr txBox="1"/>
      </xdr:nvSpPr>
      <xdr:spPr>
        <a:xfrm>
          <a:off x="4206240" y="10599420"/>
          <a:ext cx="60960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AR" sz="1400">
              <a:solidFill>
                <a:srgbClr val="FF0000"/>
              </a:solidFill>
            </a:rPr>
            <a:t>32</a:t>
          </a:r>
        </a:p>
      </xdr:txBody>
    </xdr:sp>
    <xdr:clientData/>
  </xdr:oneCellAnchor>
  <xdr:oneCellAnchor>
    <xdr:from>
      <xdr:col>3</xdr:col>
      <xdr:colOff>586740</xdr:colOff>
      <xdr:row>53</xdr:row>
      <xdr:rowOff>114300</xdr:rowOff>
    </xdr:from>
    <xdr:ext cx="609600" cy="311496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A0AF5C04-77C3-4D44-91CB-53A87C716509}"/>
            </a:ext>
          </a:extLst>
        </xdr:cNvPr>
        <xdr:cNvSpPr txBox="1"/>
      </xdr:nvSpPr>
      <xdr:spPr>
        <a:xfrm>
          <a:off x="2926080" y="9806940"/>
          <a:ext cx="60960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AR" sz="1400">
              <a:solidFill>
                <a:srgbClr val="FF0000"/>
              </a:solidFill>
            </a:rPr>
            <a:t>4</a:t>
          </a:r>
        </a:p>
      </xdr:txBody>
    </xdr:sp>
    <xdr:clientData/>
  </xdr:oneCellAnchor>
  <xdr:oneCellAnchor>
    <xdr:from>
      <xdr:col>3</xdr:col>
      <xdr:colOff>53340</xdr:colOff>
      <xdr:row>54</xdr:row>
      <xdr:rowOff>144780</xdr:rowOff>
    </xdr:from>
    <xdr:ext cx="609600" cy="311496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AA07EDE6-17BF-4977-8DC8-21592708F4A6}"/>
            </a:ext>
          </a:extLst>
        </xdr:cNvPr>
        <xdr:cNvSpPr txBox="1"/>
      </xdr:nvSpPr>
      <xdr:spPr>
        <a:xfrm>
          <a:off x="2392680" y="10020300"/>
          <a:ext cx="60960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AR" sz="1400">
              <a:solidFill>
                <a:srgbClr val="FF0000"/>
              </a:solidFill>
            </a:rPr>
            <a:t>56</a:t>
          </a:r>
        </a:p>
      </xdr:txBody>
    </xdr:sp>
    <xdr:clientData/>
  </xdr:oneCellAnchor>
  <xdr:twoCellAnchor editAs="oneCell">
    <xdr:from>
      <xdr:col>6</xdr:col>
      <xdr:colOff>617220</xdr:colOff>
      <xdr:row>45</xdr:row>
      <xdr:rowOff>53384</xdr:rowOff>
    </xdr:from>
    <xdr:to>
      <xdr:col>17</xdr:col>
      <xdr:colOff>104255</xdr:colOff>
      <xdr:row>56</xdr:row>
      <xdr:rowOff>2236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1E7A21D4-008E-4DA6-A999-CB55EACC64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34000" y="8282984"/>
          <a:ext cx="8204315" cy="1960532"/>
        </a:xfrm>
        <a:prstGeom prst="rect">
          <a:avLst/>
        </a:prstGeom>
      </xdr:spPr>
    </xdr:pic>
    <xdr:clientData/>
  </xdr:twoCellAnchor>
  <xdr:oneCellAnchor>
    <xdr:from>
      <xdr:col>3</xdr:col>
      <xdr:colOff>586740</xdr:colOff>
      <xdr:row>50</xdr:row>
      <xdr:rowOff>152400</xdr:rowOff>
    </xdr:from>
    <xdr:ext cx="609600" cy="311496"/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BE26F364-14BF-465F-A366-7C8AB2F6DF47}"/>
            </a:ext>
          </a:extLst>
        </xdr:cNvPr>
        <xdr:cNvSpPr txBox="1"/>
      </xdr:nvSpPr>
      <xdr:spPr>
        <a:xfrm>
          <a:off x="2926080" y="9296400"/>
          <a:ext cx="60960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AR" sz="1400">
              <a:solidFill>
                <a:srgbClr val="FF0000"/>
              </a:solidFill>
            </a:rPr>
            <a:t>11</a:t>
          </a:r>
        </a:p>
      </xdr:txBody>
    </xdr:sp>
    <xdr:clientData/>
  </xdr:oneCellAnchor>
  <xdr:oneCellAnchor>
    <xdr:from>
      <xdr:col>2</xdr:col>
      <xdr:colOff>525780</xdr:colOff>
      <xdr:row>50</xdr:row>
      <xdr:rowOff>129540</xdr:rowOff>
    </xdr:from>
    <xdr:ext cx="609600" cy="311496"/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E171E3FF-AC9A-419A-8109-251AA53A8305}"/>
            </a:ext>
          </a:extLst>
        </xdr:cNvPr>
        <xdr:cNvSpPr txBox="1"/>
      </xdr:nvSpPr>
      <xdr:spPr>
        <a:xfrm>
          <a:off x="2072640" y="9273540"/>
          <a:ext cx="60960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AR" sz="1400">
              <a:solidFill>
                <a:srgbClr val="FF0000"/>
              </a:solidFill>
            </a:rPr>
            <a:t>49</a:t>
          </a:r>
        </a:p>
      </xdr:txBody>
    </xdr:sp>
    <xdr:clientData/>
  </xdr:oneCellAnchor>
  <xdr:oneCellAnchor>
    <xdr:from>
      <xdr:col>4</xdr:col>
      <xdr:colOff>289560</xdr:colOff>
      <xdr:row>55</xdr:row>
      <xdr:rowOff>76200</xdr:rowOff>
    </xdr:from>
    <xdr:ext cx="609600" cy="311496"/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605ACC7C-D7C3-450F-ABC8-1D8A3F31ACFB}"/>
            </a:ext>
          </a:extLst>
        </xdr:cNvPr>
        <xdr:cNvSpPr txBox="1"/>
      </xdr:nvSpPr>
      <xdr:spPr>
        <a:xfrm>
          <a:off x="3421380" y="10134600"/>
          <a:ext cx="60960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AR" sz="1400">
              <a:solidFill>
                <a:srgbClr val="FF0000"/>
              </a:solidFill>
            </a:rPr>
            <a:t>1</a:t>
          </a:r>
        </a:p>
      </xdr:txBody>
    </xdr:sp>
    <xdr:clientData/>
  </xdr:oneCellAnchor>
  <xdr:oneCellAnchor>
    <xdr:from>
      <xdr:col>3</xdr:col>
      <xdr:colOff>541020</xdr:colOff>
      <xdr:row>58</xdr:row>
      <xdr:rowOff>68580</xdr:rowOff>
    </xdr:from>
    <xdr:ext cx="609600" cy="311496"/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6568630E-08DE-43DC-9282-6D2F6E7ACEB0}"/>
            </a:ext>
          </a:extLst>
        </xdr:cNvPr>
        <xdr:cNvSpPr txBox="1"/>
      </xdr:nvSpPr>
      <xdr:spPr>
        <a:xfrm>
          <a:off x="2880360" y="10675620"/>
          <a:ext cx="60960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AR" sz="1400">
              <a:solidFill>
                <a:srgbClr val="FF0000"/>
              </a:solidFill>
            </a:rPr>
            <a:t>4</a:t>
          </a:r>
        </a:p>
      </xdr:txBody>
    </xdr:sp>
    <xdr:clientData/>
  </xdr:oneCellAnchor>
  <xdr:oneCellAnchor>
    <xdr:from>
      <xdr:col>4</xdr:col>
      <xdr:colOff>563880</xdr:colOff>
      <xdr:row>51</xdr:row>
      <xdr:rowOff>0</xdr:rowOff>
    </xdr:from>
    <xdr:ext cx="609600" cy="311496"/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2A7A94D5-8354-47E8-B1C9-B67B72AAF0E1}"/>
            </a:ext>
          </a:extLst>
        </xdr:cNvPr>
        <xdr:cNvSpPr txBox="1"/>
      </xdr:nvSpPr>
      <xdr:spPr>
        <a:xfrm>
          <a:off x="3695700" y="9326880"/>
          <a:ext cx="60960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AR" sz="1400">
              <a:solidFill>
                <a:srgbClr val="FF0000"/>
              </a:solidFill>
            </a:rPr>
            <a:t>12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548745</xdr:colOff>
      <xdr:row>34</xdr:row>
      <xdr:rowOff>91835</xdr:rowOff>
    </xdr:from>
    <xdr:to>
      <xdr:col>6</xdr:col>
      <xdr:colOff>22860</xdr:colOff>
      <xdr:row>55</xdr:row>
      <xdr:rowOff>107077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7FB8117-A8E0-45DC-8D8B-33976475D4D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3702"/>
        <a:stretch/>
      </xdr:blipFill>
      <xdr:spPr bwMode="auto">
        <a:xfrm>
          <a:off x="548745" y="6309755"/>
          <a:ext cx="4228995" cy="38557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220980</xdr:colOff>
      <xdr:row>38</xdr:row>
      <xdr:rowOff>53340</xdr:rowOff>
    </xdr:from>
    <xdr:ext cx="472440" cy="264560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9B6D6610-EBBF-401F-B400-2023EC0D167C}"/>
            </a:ext>
          </a:extLst>
        </xdr:cNvPr>
        <xdr:cNvSpPr txBox="1"/>
      </xdr:nvSpPr>
      <xdr:spPr>
        <a:xfrm>
          <a:off x="1013460" y="7002780"/>
          <a:ext cx="47244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AR" sz="1100"/>
            <a:t>Java</a:t>
          </a:r>
        </a:p>
      </xdr:txBody>
    </xdr:sp>
    <xdr:clientData/>
  </xdr:oneCellAnchor>
  <xdr:oneCellAnchor>
    <xdr:from>
      <xdr:col>4</xdr:col>
      <xdr:colOff>525780</xdr:colOff>
      <xdr:row>38</xdr:row>
      <xdr:rowOff>76200</xdr:rowOff>
    </xdr:from>
    <xdr:ext cx="609600" cy="264560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D5DDF86F-C869-4642-90A8-3AD91D1B0C72}"/>
            </a:ext>
          </a:extLst>
        </xdr:cNvPr>
        <xdr:cNvSpPr txBox="1"/>
      </xdr:nvSpPr>
      <xdr:spPr>
        <a:xfrm>
          <a:off x="3695700" y="7025640"/>
          <a:ext cx="6096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AR" sz="1100"/>
            <a:t>Python</a:t>
          </a:r>
        </a:p>
      </xdr:txBody>
    </xdr:sp>
    <xdr:clientData/>
  </xdr:oneCellAnchor>
  <xdr:oneCellAnchor>
    <xdr:from>
      <xdr:col>4</xdr:col>
      <xdr:colOff>289665</xdr:colOff>
      <xdr:row>52</xdr:row>
      <xdr:rowOff>8015</xdr:rowOff>
    </xdr:from>
    <xdr:ext cx="609600" cy="264560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F166FD69-AAEE-4AEC-8489-CADFA49DB84D}"/>
            </a:ext>
          </a:extLst>
        </xdr:cNvPr>
        <xdr:cNvSpPr txBox="1"/>
      </xdr:nvSpPr>
      <xdr:spPr>
        <a:xfrm>
          <a:off x="3459585" y="9517775"/>
          <a:ext cx="6096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AR" sz="1100"/>
            <a:t>C#</a:t>
          </a:r>
        </a:p>
      </xdr:txBody>
    </xdr:sp>
    <xdr:clientData/>
  </xdr:oneCellAnchor>
  <xdr:oneCellAnchor>
    <xdr:from>
      <xdr:col>3</xdr:col>
      <xdr:colOff>122025</xdr:colOff>
      <xdr:row>43</xdr:row>
      <xdr:rowOff>175655</xdr:rowOff>
    </xdr:from>
    <xdr:ext cx="609600" cy="311496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11F28439-C778-4FA7-9466-00C8829CB2DC}"/>
            </a:ext>
          </a:extLst>
        </xdr:cNvPr>
        <xdr:cNvSpPr txBox="1"/>
      </xdr:nvSpPr>
      <xdr:spPr>
        <a:xfrm>
          <a:off x="2499465" y="8039495"/>
          <a:ext cx="60960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AR" sz="1400">
              <a:solidFill>
                <a:srgbClr val="FF0000"/>
              </a:solidFill>
            </a:rPr>
            <a:t>30</a:t>
          </a:r>
          <a:endParaRPr lang="es-AR" sz="11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426825</xdr:colOff>
      <xdr:row>46</xdr:row>
      <xdr:rowOff>30875</xdr:rowOff>
    </xdr:from>
    <xdr:ext cx="609600" cy="311496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DAB1615D-20FD-47F8-806F-8094F562F8D4}"/>
            </a:ext>
          </a:extLst>
        </xdr:cNvPr>
        <xdr:cNvSpPr txBox="1"/>
      </xdr:nvSpPr>
      <xdr:spPr>
        <a:xfrm>
          <a:off x="2011785" y="8443355"/>
          <a:ext cx="60960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AR" sz="1400">
              <a:solidFill>
                <a:srgbClr val="FF0000"/>
              </a:solidFill>
            </a:rPr>
            <a:t>75</a:t>
          </a:r>
        </a:p>
      </xdr:txBody>
    </xdr:sp>
    <xdr:clientData/>
  </xdr:oneCellAnchor>
  <xdr:oneCellAnchor>
    <xdr:from>
      <xdr:col>3</xdr:col>
      <xdr:colOff>114405</xdr:colOff>
      <xdr:row>41</xdr:row>
      <xdr:rowOff>99455</xdr:rowOff>
    </xdr:from>
    <xdr:ext cx="609600" cy="311496"/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709CEA57-59FF-44D5-AF77-AD902A5DCDF6}"/>
            </a:ext>
          </a:extLst>
        </xdr:cNvPr>
        <xdr:cNvSpPr txBox="1"/>
      </xdr:nvSpPr>
      <xdr:spPr>
        <a:xfrm>
          <a:off x="2491845" y="7597535"/>
          <a:ext cx="60960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AR" sz="1400">
              <a:solidFill>
                <a:srgbClr val="FF0000"/>
              </a:solidFill>
            </a:rPr>
            <a:t>15</a:t>
          </a:r>
        </a:p>
      </xdr:txBody>
    </xdr:sp>
    <xdr:clientData/>
  </xdr:oneCellAnchor>
  <xdr:oneCellAnchor>
    <xdr:from>
      <xdr:col>2</xdr:col>
      <xdr:colOff>7620</xdr:colOff>
      <xdr:row>42</xdr:row>
      <xdr:rowOff>7620</xdr:rowOff>
    </xdr:from>
    <xdr:ext cx="609600" cy="311496"/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62063487-277B-4B66-95E0-CB79CC335DE7}"/>
            </a:ext>
          </a:extLst>
        </xdr:cNvPr>
        <xdr:cNvSpPr txBox="1"/>
      </xdr:nvSpPr>
      <xdr:spPr>
        <a:xfrm>
          <a:off x="1592580" y="7688580"/>
          <a:ext cx="60960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AR" sz="1400">
              <a:solidFill>
                <a:srgbClr val="FF0000"/>
              </a:solidFill>
            </a:rPr>
            <a:t>23</a:t>
          </a:r>
        </a:p>
      </xdr:txBody>
    </xdr:sp>
    <xdr:clientData/>
  </xdr:oneCellAnchor>
  <xdr:oneCellAnchor>
    <xdr:from>
      <xdr:col>4</xdr:col>
      <xdr:colOff>76305</xdr:colOff>
      <xdr:row>42</xdr:row>
      <xdr:rowOff>15635</xdr:rowOff>
    </xdr:from>
    <xdr:ext cx="609600" cy="311496"/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EA140226-3017-4AA9-AF9E-F4C42C85F5FF}"/>
            </a:ext>
          </a:extLst>
        </xdr:cNvPr>
        <xdr:cNvSpPr txBox="1"/>
      </xdr:nvSpPr>
      <xdr:spPr>
        <a:xfrm>
          <a:off x="3246225" y="7696595"/>
          <a:ext cx="60960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AR" sz="1400">
              <a:solidFill>
                <a:srgbClr val="FF0000"/>
              </a:solidFill>
            </a:rPr>
            <a:t>14</a:t>
          </a:r>
        </a:p>
      </xdr:txBody>
    </xdr:sp>
    <xdr:clientData/>
  </xdr:oneCellAnchor>
  <xdr:oneCellAnchor>
    <xdr:from>
      <xdr:col>3</xdr:col>
      <xdr:colOff>129645</xdr:colOff>
      <xdr:row>49</xdr:row>
      <xdr:rowOff>30875</xdr:rowOff>
    </xdr:from>
    <xdr:ext cx="609600" cy="311496"/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7625C3DE-C696-4F3B-A335-FC2174034318}"/>
            </a:ext>
          </a:extLst>
        </xdr:cNvPr>
        <xdr:cNvSpPr txBox="1"/>
      </xdr:nvSpPr>
      <xdr:spPr>
        <a:xfrm>
          <a:off x="2507085" y="8991995"/>
          <a:ext cx="60960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AR" sz="1400">
              <a:solidFill>
                <a:srgbClr val="FF0000"/>
              </a:solidFill>
            </a:rPr>
            <a:t>15</a:t>
          </a:r>
        </a:p>
      </xdr:txBody>
    </xdr:sp>
    <xdr:clientData/>
  </xdr:oneCellAnchor>
  <xdr:oneCellAnchor>
    <xdr:from>
      <xdr:col>4</xdr:col>
      <xdr:colOff>571500</xdr:colOff>
      <xdr:row>49</xdr:row>
      <xdr:rowOff>7620</xdr:rowOff>
    </xdr:from>
    <xdr:ext cx="609600" cy="311496"/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48CFC013-EA77-450C-B4D8-F4CE0B53DBFC}"/>
            </a:ext>
          </a:extLst>
        </xdr:cNvPr>
        <xdr:cNvSpPr txBox="1"/>
      </xdr:nvSpPr>
      <xdr:spPr>
        <a:xfrm>
          <a:off x="3741420" y="8968740"/>
          <a:ext cx="60960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AR" sz="1400">
              <a:solidFill>
                <a:srgbClr val="FF0000"/>
              </a:solidFill>
            </a:rPr>
            <a:t>3</a:t>
          </a:r>
        </a:p>
      </xdr:txBody>
    </xdr:sp>
    <xdr:clientData/>
  </xdr:oneCellAnchor>
  <xdr:twoCellAnchor editAs="oneCell">
    <xdr:from>
      <xdr:col>6</xdr:col>
      <xdr:colOff>266700</xdr:colOff>
      <xdr:row>38</xdr:row>
      <xdr:rowOff>38598</xdr:rowOff>
    </xdr:from>
    <xdr:to>
      <xdr:col>16</xdr:col>
      <xdr:colOff>443422</xdr:colOff>
      <xdr:row>53</xdr:row>
      <xdr:rowOff>101471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CB6FBB30-AA19-41F4-9C61-A326DF22C8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21580" y="6988038"/>
          <a:ext cx="8101522" cy="280607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594360</xdr:colOff>
      <xdr:row>27</xdr:row>
      <xdr:rowOff>91440</xdr:rowOff>
    </xdr:from>
    <xdr:to>
      <xdr:col>8</xdr:col>
      <xdr:colOff>68475</xdr:colOff>
      <xdr:row>48</xdr:row>
      <xdr:rowOff>106682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6ACD292-A179-45C3-A3E2-099B904B67D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3702"/>
        <a:stretch/>
      </xdr:blipFill>
      <xdr:spPr bwMode="auto">
        <a:xfrm>
          <a:off x="2179320" y="5029200"/>
          <a:ext cx="4228995" cy="38557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4</xdr:col>
      <xdr:colOff>106680</xdr:colOff>
      <xdr:row>34</xdr:row>
      <xdr:rowOff>45720</xdr:rowOff>
    </xdr:from>
    <xdr:ext cx="609600" cy="311496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2414B115-76F4-45D7-8BF9-0B29D3068150}"/>
            </a:ext>
          </a:extLst>
        </xdr:cNvPr>
        <xdr:cNvSpPr txBox="1"/>
      </xdr:nvSpPr>
      <xdr:spPr>
        <a:xfrm>
          <a:off x="3276600" y="6263640"/>
          <a:ext cx="60960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AR" sz="1400">
              <a:solidFill>
                <a:srgbClr val="FF0000"/>
              </a:solidFill>
            </a:rPr>
            <a:t>26</a:t>
          </a:r>
        </a:p>
      </xdr:txBody>
    </xdr:sp>
    <xdr:clientData/>
  </xdr:oneCellAnchor>
  <xdr:oneCellAnchor>
    <xdr:from>
      <xdr:col>5</xdr:col>
      <xdr:colOff>144780</xdr:colOff>
      <xdr:row>34</xdr:row>
      <xdr:rowOff>99060</xdr:rowOff>
    </xdr:from>
    <xdr:ext cx="609600" cy="311496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487E4BB5-5721-406A-B355-0BBB8CC81D9A}"/>
            </a:ext>
          </a:extLst>
        </xdr:cNvPr>
        <xdr:cNvSpPr txBox="1"/>
      </xdr:nvSpPr>
      <xdr:spPr>
        <a:xfrm>
          <a:off x="4107180" y="6316980"/>
          <a:ext cx="60960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AR" sz="1400">
              <a:solidFill>
                <a:srgbClr val="FF0000"/>
              </a:solidFill>
            </a:rPr>
            <a:t>35</a:t>
          </a:r>
        </a:p>
      </xdr:txBody>
    </xdr:sp>
    <xdr:clientData/>
  </xdr:oneCellAnchor>
  <xdr:oneCellAnchor>
    <xdr:from>
      <xdr:col>6</xdr:col>
      <xdr:colOff>114300</xdr:colOff>
      <xdr:row>35</xdr:row>
      <xdr:rowOff>0</xdr:rowOff>
    </xdr:from>
    <xdr:ext cx="609600" cy="311496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E9AC5053-4BF1-4E39-A959-0E4BAE5E84A7}"/>
            </a:ext>
          </a:extLst>
        </xdr:cNvPr>
        <xdr:cNvSpPr txBox="1"/>
      </xdr:nvSpPr>
      <xdr:spPr>
        <a:xfrm>
          <a:off x="4869180" y="6400800"/>
          <a:ext cx="60960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AR" sz="1400">
              <a:solidFill>
                <a:srgbClr val="FF0000"/>
              </a:solidFill>
            </a:rPr>
            <a:t>65</a:t>
          </a:r>
        </a:p>
      </xdr:txBody>
    </xdr:sp>
    <xdr:clientData/>
  </xdr:oneCellAnchor>
  <xdr:oneCellAnchor>
    <xdr:from>
      <xdr:col>4</xdr:col>
      <xdr:colOff>556260</xdr:colOff>
      <xdr:row>38</xdr:row>
      <xdr:rowOff>121920</xdr:rowOff>
    </xdr:from>
    <xdr:ext cx="609600" cy="311496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6AEF7A6B-A28B-4026-8374-2CEEF3D81D2C}"/>
            </a:ext>
          </a:extLst>
        </xdr:cNvPr>
        <xdr:cNvSpPr txBox="1"/>
      </xdr:nvSpPr>
      <xdr:spPr>
        <a:xfrm>
          <a:off x="3726180" y="7071360"/>
          <a:ext cx="60960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AR" sz="1400">
              <a:solidFill>
                <a:srgbClr val="FF0000"/>
              </a:solidFill>
            </a:rPr>
            <a:t>0</a:t>
          </a:r>
        </a:p>
      </xdr:txBody>
    </xdr:sp>
    <xdr:clientData/>
  </xdr:oneCellAnchor>
  <xdr:oneCellAnchor>
    <xdr:from>
      <xdr:col>5</xdr:col>
      <xdr:colOff>167640</xdr:colOff>
      <xdr:row>36</xdr:row>
      <xdr:rowOff>175260</xdr:rowOff>
    </xdr:from>
    <xdr:ext cx="609600" cy="311496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CCB02C1D-1857-408B-882A-1F04EBF36B8E}"/>
            </a:ext>
          </a:extLst>
        </xdr:cNvPr>
        <xdr:cNvSpPr txBox="1"/>
      </xdr:nvSpPr>
      <xdr:spPr>
        <a:xfrm>
          <a:off x="4130040" y="6758940"/>
          <a:ext cx="60960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AR" sz="1400">
              <a:solidFill>
                <a:srgbClr val="FF0000"/>
              </a:solidFill>
            </a:rPr>
            <a:t>95</a:t>
          </a:r>
        </a:p>
      </xdr:txBody>
    </xdr:sp>
    <xdr:clientData/>
  </xdr:oneCellAnchor>
  <xdr:oneCellAnchor>
    <xdr:from>
      <xdr:col>5</xdr:col>
      <xdr:colOff>175260</xdr:colOff>
      <xdr:row>41</xdr:row>
      <xdr:rowOff>114300</xdr:rowOff>
    </xdr:from>
    <xdr:ext cx="609600" cy="311496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E61E879F-843E-4AD8-84B5-9F70D23CD9DA}"/>
            </a:ext>
          </a:extLst>
        </xdr:cNvPr>
        <xdr:cNvSpPr txBox="1"/>
      </xdr:nvSpPr>
      <xdr:spPr>
        <a:xfrm>
          <a:off x="4137660" y="7612380"/>
          <a:ext cx="60960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AR" sz="1400">
              <a:solidFill>
                <a:srgbClr val="FF0000"/>
              </a:solidFill>
            </a:rPr>
            <a:t>105</a:t>
          </a:r>
        </a:p>
      </xdr:txBody>
    </xdr:sp>
    <xdr:clientData/>
  </xdr:oneCellAnchor>
  <xdr:oneCellAnchor>
    <xdr:from>
      <xdr:col>5</xdr:col>
      <xdr:colOff>579120</xdr:colOff>
      <xdr:row>38</xdr:row>
      <xdr:rowOff>152400</xdr:rowOff>
    </xdr:from>
    <xdr:ext cx="609600" cy="311496"/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A8AA4406-2A62-4F99-AC62-F6294D7E31E2}"/>
            </a:ext>
          </a:extLst>
        </xdr:cNvPr>
        <xdr:cNvSpPr txBox="1"/>
      </xdr:nvSpPr>
      <xdr:spPr>
        <a:xfrm>
          <a:off x="4541520" y="7101840"/>
          <a:ext cx="60960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AR" sz="1400">
              <a:solidFill>
                <a:srgbClr val="FF0000"/>
              </a:solidFill>
            </a:rPr>
            <a:t>8</a:t>
          </a:r>
        </a:p>
      </xdr:txBody>
    </xdr:sp>
    <xdr:clientData/>
  </xdr:oneCellAnchor>
  <xdr:oneCellAnchor>
    <xdr:from>
      <xdr:col>6</xdr:col>
      <xdr:colOff>586740</xdr:colOff>
      <xdr:row>31</xdr:row>
      <xdr:rowOff>144780</xdr:rowOff>
    </xdr:from>
    <xdr:ext cx="701040" cy="311496"/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35A82C4C-3B28-40BA-959E-2C1251F505BD}"/>
            </a:ext>
          </a:extLst>
        </xdr:cNvPr>
        <xdr:cNvSpPr txBox="1"/>
      </xdr:nvSpPr>
      <xdr:spPr>
        <a:xfrm>
          <a:off x="5341620" y="5814060"/>
          <a:ext cx="70104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AR" sz="1400">
              <a:solidFill>
                <a:srgbClr val="FF0000"/>
              </a:solidFill>
            </a:rPr>
            <a:t>Python</a:t>
          </a:r>
        </a:p>
      </xdr:txBody>
    </xdr:sp>
    <xdr:clientData/>
  </xdr:oneCellAnchor>
  <xdr:oneCellAnchor>
    <xdr:from>
      <xdr:col>6</xdr:col>
      <xdr:colOff>99060</xdr:colOff>
      <xdr:row>44</xdr:row>
      <xdr:rowOff>76200</xdr:rowOff>
    </xdr:from>
    <xdr:ext cx="609600" cy="311496"/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90B67964-971E-4F18-9755-917D363A04E4}"/>
            </a:ext>
          </a:extLst>
        </xdr:cNvPr>
        <xdr:cNvSpPr txBox="1"/>
      </xdr:nvSpPr>
      <xdr:spPr>
        <a:xfrm>
          <a:off x="4853940" y="8122920"/>
          <a:ext cx="60960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AR" sz="1400">
              <a:solidFill>
                <a:srgbClr val="FF0000"/>
              </a:solidFill>
            </a:rPr>
            <a:t>C#</a:t>
          </a:r>
        </a:p>
      </xdr:txBody>
    </xdr:sp>
    <xdr:clientData/>
  </xdr:oneCellAnchor>
  <xdr:oneCellAnchor>
    <xdr:from>
      <xdr:col>3</xdr:col>
      <xdr:colOff>243840</xdr:colOff>
      <xdr:row>31</xdr:row>
      <xdr:rowOff>30480</xdr:rowOff>
    </xdr:from>
    <xdr:ext cx="609600" cy="311496"/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A4172218-C066-4ADF-BB82-CA1557A800AC}"/>
            </a:ext>
          </a:extLst>
        </xdr:cNvPr>
        <xdr:cNvSpPr txBox="1"/>
      </xdr:nvSpPr>
      <xdr:spPr>
        <a:xfrm>
          <a:off x="2621280" y="5699760"/>
          <a:ext cx="60960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AR" sz="1400">
              <a:solidFill>
                <a:srgbClr val="FF0000"/>
              </a:solidFill>
            </a:rPr>
            <a:t>Java</a:t>
          </a:r>
        </a:p>
      </xdr:txBody>
    </xdr:sp>
    <xdr:clientData/>
  </xdr:oneCellAnchor>
  <xdr:oneCellAnchor>
    <xdr:from>
      <xdr:col>6</xdr:col>
      <xdr:colOff>693420</xdr:colOff>
      <xdr:row>41</xdr:row>
      <xdr:rowOff>152400</xdr:rowOff>
    </xdr:from>
    <xdr:ext cx="609600" cy="311496"/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22B27EBE-1577-4AC9-8D30-8D9354D12DC0}"/>
            </a:ext>
          </a:extLst>
        </xdr:cNvPr>
        <xdr:cNvSpPr txBox="1"/>
      </xdr:nvSpPr>
      <xdr:spPr>
        <a:xfrm>
          <a:off x="5448300" y="7650480"/>
          <a:ext cx="60960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AR" sz="1400">
              <a:solidFill>
                <a:srgbClr val="FF0000"/>
              </a:solidFill>
            </a:rPr>
            <a:t>8</a:t>
          </a:r>
        </a:p>
      </xdr:txBody>
    </xdr:sp>
    <xdr:clientData/>
  </xdr:oneCellAnchor>
  <xdr:twoCellAnchor editAs="oneCell">
    <xdr:from>
      <xdr:col>7</xdr:col>
      <xdr:colOff>698628</xdr:colOff>
      <xdr:row>31</xdr:row>
      <xdr:rowOff>53340</xdr:rowOff>
    </xdr:from>
    <xdr:to>
      <xdr:col>17</xdr:col>
      <xdr:colOff>454785</xdr:colOff>
      <xdr:row>46</xdr:row>
      <xdr:rowOff>53340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BA3B3C26-8DC2-4F0C-9E4A-F7150B93AD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45988" y="5722620"/>
          <a:ext cx="7680957" cy="2743200"/>
        </a:xfrm>
        <a:prstGeom prst="rect">
          <a:avLst/>
        </a:prstGeom>
      </xdr:spPr>
    </xdr:pic>
    <xdr:clientData/>
  </xdr:twoCellAnchor>
  <xdr:twoCellAnchor editAs="oneCell">
    <xdr:from>
      <xdr:col>8</xdr:col>
      <xdr:colOff>762000</xdr:colOff>
      <xdr:row>48</xdr:row>
      <xdr:rowOff>175260</xdr:rowOff>
    </xdr:from>
    <xdr:to>
      <xdr:col>17</xdr:col>
      <xdr:colOff>764901</xdr:colOff>
      <xdr:row>61</xdr:row>
      <xdr:rowOff>36507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4F384C9B-554D-4D93-BFA3-D6DDB7AC42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101840" y="8953500"/>
          <a:ext cx="7135221" cy="2238687"/>
        </a:xfrm>
        <a:prstGeom prst="rect">
          <a:avLst/>
        </a:prstGeom>
      </xdr:spPr>
    </xdr:pic>
    <xdr:clientData/>
  </xdr:twoCellAnchor>
  <xdr:twoCellAnchor editAs="oneCell">
    <xdr:from>
      <xdr:col>3</xdr:col>
      <xdr:colOff>259080</xdr:colOff>
      <xdr:row>46</xdr:row>
      <xdr:rowOff>160020</xdr:rowOff>
    </xdr:from>
    <xdr:to>
      <xdr:col>8</xdr:col>
      <xdr:colOff>525675</xdr:colOff>
      <xdr:row>67</xdr:row>
      <xdr:rowOff>175262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1DC5C29-9095-4022-8802-3539507050F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3702"/>
        <a:stretch/>
      </xdr:blipFill>
      <xdr:spPr bwMode="auto">
        <a:xfrm>
          <a:off x="2636520" y="8572500"/>
          <a:ext cx="4228995" cy="38557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3</xdr:col>
      <xdr:colOff>708660</xdr:colOff>
      <xdr:row>51</xdr:row>
      <xdr:rowOff>30480</xdr:rowOff>
    </xdr:from>
    <xdr:ext cx="609600" cy="311496"/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0E17E81F-C0CE-4B67-83F1-09B10D614F0B}"/>
            </a:ext>
          </a:extLst>
        </xdr:cNvPr>
        <xdr:cNvSpPr txBox="1"/>
      </xdr:nvSpPr>
      <xdr:spPr>
        <a:xfrm>
          <a:off x="3086100" y="9357360"/>
          <a:ext cx="60960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AR" sz="1400">
              <a:solidFill>
                <a:srgbClr val="FF0000"/>
              </a:solidFill>
            </a:rPr>
            <a:t>messi</a:t>
          </a:r>
        </a:p>
      </xdr:txBody>
    </xdr:sp>
    <xdr:clientData/>
  </xdr:oneCellAnchor>
  <xdr:oneCellAnchor>
    <xdr:from>
      <xdr:col>7</xdr:col>
      <xdr:colOff>381000</xdr:colOff>
      <xdr:row>50</xdr:row>
      <xdr:rowOff>144780</xdr:rowOff>
    </xdr:from>
    <xdr:ext cx="792480" cy="311496"/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B927C187-5B94-47A2-8AD7-3C9B45D6D962}"/>
            </a:ext>
          </a:extLst>
        </xdr:cNvPr>
        <xdr:cNvSpPr txBox="1"/>
      </xdr:nvSpPr>
      <xdr:spPr>
        <a:xfrm>
          <a:off x="5928360" y="9288780"/>
          <a:ext cx="79248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AR" sz="1400">
              <a:solidFill>
                <a:srgbClr val="FF0000"/>
              </a:solidFill>
            </a:rPr>
            <a:t>marado</a:t>
          </a:r>
        </a:p>
      </xdr:txBody>
    </xdr:sp>
    <xdr:clientData/>
  </xdr:oneCellAnchor>
  <xdr:oneCellAnchor>
    <xdr:from>
      <xdr:col>7</xdr:col>
      <xdr:colOff>15240</xdr:colOff>
      <xdr:row>63</xdr:row>
      <xdr:rowOff>76200</xdr:rowOff>
    </xdr:from>
    <xdr:ext cx="861060" cy="311496"/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6F9F61BE-FAE3-49FD-813E-F120A97BFAD7}"/>
            </a:ext>
          </a:extLst>
        </xdr:cNvPr>
        <xdr:cNvSpPr txBox="1"/>
      </xdr:nvSpPr>
      <xdr:spPr>
        <a:xfrm>
          <a:off x="5562600" y="11597640"/>
          <a:ext cx="86106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AR" sz="1400">
              <a:solidFill>
                <a:srgbClr val="FF0000"/>
              </a:solidFill>
            </a:rPr>
            <a:t>ronaldo</a:t>
          </a:r>
        </a:p>
      </xdr:txBody>
    </xdr:sp>
    <xdr:clientData/>
  </xdr:oneCellAnchor>
  <xdr:oneCellAnchor>
    <xdr:from>
      <xdr:col>5</xdr:col>
      <xdr:colOff>594360</xdr:colOff>
      <xdr:row>56</xdr:row>
      <xdr:rowOff>76200</xdr:rowOff>
    </xdr:from>
    <xdr:ext cx="609600" cy="311496"/>
    <xdr:sp macro="" textlink="">
      <xdr:nvSpPr>
        <xdr:cNvPr id="20" name="CuadroTexto 19">
          <a:extLst>
            <a:ext uri="{FF2B5EF4-FFF2-40B4-BE49-F238E27FC236}">
              <a16:creationId xmlns:a16="http://schemas.microsoft.com/office/drawing/2014/main" id="{8E0D82FE-474E-4143-AAD9-5D9662718563}"/>
            </a:ext>
          </a:extLst>
        </xdr:cNvPr>
        <xdr:cNvSpPr txBox="1"/>
      </xdr:nvSpPr>
      <xdr:spPr>
        <a:xfrm>
          <a:off x="4556760" y="10317480"/>
          <a:ext cx="60960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AR" sz="1400">
              <a:solidFill>
                <a:srgbClr val="FF0000"/>
              </a:solidFill>
            </a:rPr>
            <a:t>5</a:t>
          </a:r>
        </a:p>
      </xdr:txBody>
    </xdr:sp>
    <xdr:clientData/>
  </xdr:oneCellAnchor>
  <xdr:oneCellAnchor>
    <xdr:from>
      <xdr:col>5</xdr:col>
      <xdr:colOff>586740</xdr:colOff>
      <xdr:row>54</xdr:row>
      <xdr:rowOff>0</xdr:rowOff>
    </xdr:from>
    <xdr:ext cx="609600" cy="530658"/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EEED1B3C-C94B-49B8-8D05-043F904D743B}"/>
            </a:ext>
          </a:extLst>
        </xdr:cNvPr>
        <xdr:cNvSpPr txBox="1"/>
      </xdr:nvSpPr>
      <xdr:spPr>
        <a:xfrm>
          <a:off x="4549140" y="9875520"/>
          <a:ext cx="609600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AR" sz="1400">
              <a:solidFill>
                <a:srgbClr val="FF0000"/>
              </a:solidFill>
            </a:rPr>
            <a:t>27	</a:t>
          </a:r>
        </a:p>
      </xdr:txBody>
    </xdr:sp>
    <xdr:clientData/>
  </xdr:oneCellAnchor>
  <xdr:oneCellAnchor>
    <xdr:from>
      <xdr:col>4</xdr:col>
      <xdr:colOff>563880</xdr:colOff>
      <xdr:row>53</xdr:row>
      <xdr:rowOff>106680</xdr:rowOff>
    </xdr:from>
    <xdr:ext cx="609600" cy="311496"/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CEA4F54F-B490-4ECF-BE29-9310B47D5787}"/>
            </a:ext>
          </a:extLst>
        </xdr:cNvPr>
        <xdr:cNvSpPr txBox="1"/>
      </xdr:nvSpPr>
      <xdr:spPr>
        <a:xfrm>
          <a:off x="3733800" y="9799320"/>
          <a:ext cx="60960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AR" sz="1400">
              <a:solidFill>
                <a:srgbClr val="FF0000"/>
              </a:solidFill>
            </a:rPr>
            <a:t>7</a:t>
          </a:r>
        </a:p>
      </xdr:txBody>
    </xdr:sp>
    <xdr:clientData/>
  </xdr:oneCellAnchor>
  <xdr:oneCellAnchor>
    <xdr:from>
      <xdr:col>7</xdr:col>
      <xdr:colOff>480060</xdr:colOff>
      <xdr:row>48</xdr:row>
      <xdr:rowOff>99060</xdr:rowOff>
    </xdr:from>
    <xdr:ext cx="792480" cy="311496"/>
    <xdr:sp macro="" textlink="">
      <xdr:nvSpPr>
        <xdr:cNvPr id="23" name="CuadroTexto 22">
          <a:extLst>
            <a:ext uri="{FF2B5EF4-FFF2-40B4-BE49-F238E27FC236}">
              <a16:creationId xmlns:a16="http://schemas.microsoft.com/office/drawing/2014/main" id="{92C505FF-B185-4F75-979B-2CF55660AF8E}"/>
            </a:ext>
          </a:extLst>
        </xdr:cNvPr>
        <xdr:cNvSpPr txBox="1"/>
      </xdr:nvSpPr>
      <xdr:spPr>
        <a:xfrm>
          <a:off x="6027420" y="8877300"/>
          <a:ext cx="79248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AR" sz="1400">
              <a:solidFill>
                <a:srgbClr val="FF0000"/>
              </a:solidFill>
            </a:rPr>
            <a:t>u=173</a:t>
          </a:r>
        </a:p>
      </xdr:txBody>
    </xdr:sp>
    <xdr:clientData/>
  </xdr:oneCellAnchor>
  <xdr:oneCellAnchor>
    <xdr:from>
      <xdr:col>5</xdr:col>
      <xdr:colOff>175260</xdr:colOff>
      <xdr:row>58</xdr:row>
      <xdr:rowOff>60960</xdr:rowOff>
    </xdr:from>
    <xdr:ext cx="609600" cy="311496"/>
    <xdr:sp macro="" textlink="">
      <xdr:nvSpPr>
        <xdr:cNvPr id="24" name="CuadroTexto 23">
          <a:extLst>
            <a:ext uri="{FF2B5EF4-FFF2-40B4-BE49-F238E27FC236}">
              <a16:creationId xmlns:a16="http://schemas.microsoft.com/office/drawing/2014/main" id="{7C0B2EB6-4DD2-4293-B169-37D9B0677B34}"/>
            </a:ext>
          </a:extLst>
        </xdr:cNvPr>
        <xdr:cNvSpPr txBox="1"/>
      </xdr:nvSpPr>
      <xdr:spPr>
        <a:xfrm>
          <a:off x="4137660" y="10668000"/>
          <a:ext cx="60960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AR" sz="1400">
              <a:solidFill>
                <a:srgbClr val="FF0000"/>
              </a:solidFill>
            </a:rPr>
            <a:t>26</a:t>
          </a:r>
        </a:p>
      </xdr:txBody>
    </xdr:sp>
    <xdr:clientData/>
  </xdr:oneCellAnchor>
  <xdr:oneCellAnchor>
    <xdr:from>
      <xdr:col>6</xdr:col>
      <xdr:colOff>335280</xdr:colOff>
      <xdr:row>58</xdr:row>
      <xdr:rowOff>7620</xdr:rowOff>
    </xdr:from>
    <xdr:ext cx="609600" cy="311496"/>
    <xdr:sp macro="" textlink="">
      <xdr:nvSpPr>
        <xdr:cNvPr id="25" name="CuadroTexto 24">
          <a:extLst>
            <a:ext uri="{FF2B5EF4-FFF2-40B4-BE49-F238E27FC236}">
              <a16:creationId xmlns:a16="http://schemas.microsoft.com/office/drawing/2014/main" id="{C15CEEB4-5AE0-4DDC-A9F2-A2C72D2E438F}"/>
            </a:ext>
          </a:extLst>
        </xdr:cNvPr>
        <xdr:cNvSpPr txBox="1"/>
      </xdr:nvSpPr>
      <xdr:spPr>
        <a:xfrm>
          <a:off x="5090160" y="10614660"/>
          <a:ext cx="60960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AR" sz="1400">
              <a:solidFill>
                <a:srgbClr val="FF0000"/>
              </a:solidFill>
            </a:rPr>
            <a:t>23</a:t>
          </a:r>
        </a:p>
      </xdr:txBody>
    </xdr:sp>
    <xdr:clientData/>
  </xdr:oneCellAnchor>
  <xdr:oneCellAnchor>
    <xdr:from>
      <xdr:col>5</xdr:col>
      <xdr:colOff>647700</xdr:colOff>
      <xdr:row>61</xdr:row>
      <xdr:rowOff>45720</xdr:rowOff>
    </xdr:from>
    <xdr:ext cx="609600" cy="311496"/>
    <xdr:sp macro="" textlink="">
      <xdr:nvSpPr>
        <xdr:cNvPr id="26" name="CuadroTexto 25">
          <a:extLst>
            <a:ext uri="{FF2B5EF4-FFF2-40B4-BE49-F238E27FC236}">
              <a16:creationId xmlns:a16="http://schemas.microsoft.com/office/drawing/2014/main" id="{3E9511EA-7D0E-4D90-802A-53BEBDD3E062}"/>
            </a:ext>
          </a:extLst>
        </xdr:cNvPr>
        <xdr:cNvSpPr txBox="1"/>
      </xdr:nvSpPr>
      <xdr:spPr>
        <a:xfrm>
          <a:off x="4610100" y="11201400"/>
          <a:ext cx="60960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AR" sz="1400">
              <a:solidFill>
                <a:srgbClr val="FF0000"/>
              </a:solidFill>
            </a:rPr>
            <a:t>28</a:t>
          </a:r>
        </a:p>
      </xdr:txBody>
    </xdr:sp>
    <xdr:clientData/>
  </xdr:oneCellAnchor>
  <xdr:oneCellAnchor>
    <xdr:from>
      <xdr:col>6</xdr:col>
      <xdr:colOff>548640</xdr:colOff>
      <xdr:row>54</xdr:row>
      <xdr:rowOff>7620</xdr:rowOff>
    </xdr:from>
    <xdr:ext cx="609600" cy="311496"/>
    <xdr:sp macro="" textlink="">
      <xdr:nvSpPr>
        <xdr:cNvPr id="27" name="CuadroTexto 26">
          <a:extLst>
            <a:ext uri="{FF2B5EF4-FFF2-40B4-BE49-F238E27FC236}">
              <a16:creationId xmlns:a16="http://schemas.microsoft.com/office/drawing/2014/main" id="{D04323BC-352F-4345-9954-C594FF30752C}"/>
            </a:ext>
          </a:extLst>
        </xdr:cNvPr>
        <xdr:cNvSpPr txBox="1"/>
      </xdr:nvSpPr>
      <xdr:spPr>
        <a:xfrm>
          <a:off x="5303520" y="9883140"/>
          <a:ext cx="60960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AR" sz="1400">
              <a:solidFill>
                <a:srgbClr val="FF0000"/>
              </a:solidFill>
            </a:rPr>
            <a:t>25</a:t>
          </a:r>
        </a:p>
      </xdr:txBody>
    </xdr:sp>
    <xdr:clientData/>
  </xdr:oneCellAnchor>
  <xdr:twoCellAnchor editAs="oneCell">
    <xdr:from>
      <xdr:col>3</xdr:col>
      <xdr:colOff>434340</xdr:colOff>
      <xdr:row>67</xdr:row>
      <xdr:rowOff>144780</xdr:rowOff>
    </xdr:from>
    <xdr:to>
      <xdr:col>8</xdr:col>
      <xdr:colOff>700935</xdr:colOff>
      <xdr:row>88</xdr:row>
      <xdr:rowOff>160022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70051A1B-DEFD-4F53-ACDE-5EBCFB24FF9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3702"/>
        <a:stretch/>
      </xdr:blipFill>
      <xdr:spPr bwMode="auto">
        <a:xfrm>
          <a:off x="2811780" y="12397740"/>
          <a:ext cx="4228995" cy="38557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7</xdr:col>
      <xdr:colOff>114300</xdr:colOff>
      <xdr:row>84</xdr:row>
      <xdr:rowOff>60960</xdr:rowOff>
    </xdr:from>
    <xdr:ext cx="861060" cy="311496"/>
    <xdr:sp macro="" textlink="">
      <xdr:nvSpPr>
        <xdr:cNvPr id="29" name="CuadroTexto 28">
          <a:extLst>
            <a:ext uri="{FF2B5EF4-FFF2-40B4-BE49-F238E27FC236}">
              <a16:creationId xmlns:a16="http://schemas.microsoft.com/office/drawing/2014/main" id="{D28CC552-E63D-422C-B6B7-580234E3F65B}"/>
            </a:ext>
          </a:extLst>
        </xdr:cNvPr>
        <xdr:cNvSpPr txBox="1"/>
      </xdr:nvSpPr>
      <xdr:spPr>
        <a:xfrm>
          <a:off x="5661660" y="15422880"/>
          <a:ext cx="86106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AR" sz="1400">
              <a:solidFill>
                <a:srgbClr val="FF0000"/>
              </a:solidFill>
            </a:rPr>
            <a:t>ronaldo</a:t>
          </a:r>
        </a:p>
      </xdr:txBody>
    </xdr:sp>
    <xdr:clientData/>
  </xdr:oneCellAnchor>
  <xdr:oneCellAnchor>
    <xdr:from>
      <xdr:col>3</xdr:col>
      <xdr:colOff>701040</xdr:colOff>
      <xdr:row>71</xdr:row>
      <xdr:rowOff>53340</xdr:rowOff>
    </xdr:from>
    <xdr:ext cx="861060" cy="311496"/>
    <xdr:sp macro="" textlink="">
      <xdr:nvSpPr>
        <xdr:cNvPr id="30" name="CuadroTexto 29">
          <a:extLst>
            <a:ext uri="{FF2B5EF4-FFF2-40B4-BE49-F238E27FC236}">
              <a16:creationId xmlns:a16="http://schemas.microsoft.com/office/drawing/2014/main" id="{3064A284-DF1C-496D-8DCF-165ABD51226B}"/>
            </a:ext>
          </a:extLst>
        </xdr:cNvPr>
        <xdr:cNvSpPr txBox="1"/>
      </xdr:nvSpPr>
      <xdr:spPr>
        <a:xfrm>
          <a:off x="3078480" y="13037820"/>
          <a:ext cx="86106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AR" sz="1400">
              <a:solidFill>
                <a:srgbClr val="FF0000"/>
              </a:solidFill>
            </a:rPr>
            <a:t>messi</a:t>
          </a:r>
        </a:p>
      </xdr:txBody>
    </xdr:sp>
    <xdr:clientData/>
  </xdr:oneCellAnchor>
  <xdr:oneCellAnchor>
    <xdr:from>
      <xdr:col>7</xdr:col>
      <xdr:colOff>434340</xdr:colOff>
      <xdr:row>70</xdr:row>
      <xdr:rowOff>175260</xdr:rowOff>
    </xdr:from>
    <xdr:ext cx="861060" cy="311496"/>
    <xdr:sp macro="" textlink="">
      <xdr:nvSpPr>
        <xdr:cNvPr id="31" name="CuadroTexto 30">
          <a:extLst>
            <a:ext uri="{FF2B5EF4-FFF2-40B4-BE49-F238E27FC236}">
              <a16:creationId xmlns:a16="http://schemas.microsoft.com/office/drawing/2014/main" id="{4AB60010-2E3C-455A-B722-AE866E78103B}"/>
            </a:ext>
          </a:extLst>
        </xdr:cNvPr>
        <xdr:cNvSpPr txBox="1"/>
      </xdr:nvSpPr>
      <xdr:spPr>
        <a:xfrm>
          <a:off x="5981700" y="12976860"/>
          <a:ext cx="86106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AR" sz="1400">
              <a:solidFill>
                <a:srgbClr val="FF0000"/>
              </a:solidFill>
            </a:rPr>
            <a:t>marado</a:t>
          </a:r>
        </a:p>
      </xdr:txBody>
    </xdr:sp>
    <xdr:clientData/>
  </xdr:oneCellAnchor>
  <xdr:oneCellAnchor>
    <xdr:from>
      <xdr:col>5</xdr:col>
      <xdr:colOff>769620</xdr:colOff>
      <xdr:row>77</xdr:row>
      <xdr:rowOff>30480</xdr:rowOff>
    </xdr:from>
    <xdr:ext cx="609600" cy="311496"/>
    <xdr:sp macro="" textlink="">
      <xdr:nvSpPr>
        <xdr:cNvPr id="33" name="CuadroTexto 32">
          <a:extLst>
            <a:ext uri="{FF2B5EF4-FFF2-40B4-BE49-F238E27FC236}">
              <a16:creationId xmlns:a16="http://schemas.microsoft.com/office/drawing/2014/main" id="{2329F28E-EE7A-4A34-A5E4-7D9743904A2C}"/>
            </a:ext>
          </a:extLst>
        </xdr:cNvPr>
        <xdr:cNvSpPr txBox="1"/>
      </xdr:nvSpPr>
      <xdr:spPr>
        <a:xfrm>
          <a:off x="4732020" y="14112240"/>
          <a:ext cx="60960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AR" sz="1400">
              <a:solidFill>
                <a:srgbClr val="FF0000"/>
              </a:solidFill>
            </a:rPr>
            <a:t>7</a:t>
          </a:r>
        </a:p>
      </xdr:txBody>
    </xdr:sp>
    <xdr:clientData/>
  </xdr:oneCellAnchor>
  <xdr:oneCellAnchor>
    <xdr:from>
      <xdr:col>5</xdr:col>
      <xdr:colOff>784860</xdr:colOff>
      <xdr:row>74</xdr:row>
      <xdr:rowOff>167640</xdr:rowOff>
    </xdr:from>
    <xdr:ext cx="609600" cy="311496"/>
    <xdr:sp macro="" textlink="">
      <xdr:nvSpPr>
        <xdr:cNvPr id="34" name="CuadroTexto 33">
          <a:extLst>
            <a:ext uri="{FF2B5EF4-FFF2-40B4-BE49-F238E27FC236}">
              <a16:creationId xmlns:a16="http://schemas.microsoft.com/office/drawing/2014/main" id="{F8CC6382-57D0-407E-AB0F-5247BBDFF034}"/>
            </a:ext>
          </a:extLst>
        </xdr:cNvPr>
        <xdr:cNvSpPr txBox="1"/>
      </xdr:nvSpPr>
      <xdr:spPr>
        <a:xfrm>
          <a:off x="4747260" y="13700760"/>
          <a:ext cx="60960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AR" sz="1400">
              <a:solidFill>
                <a:srgbClr val="FF0000"/>
              </a:solidFill>
            </a:rPr>
            <a:t>19</a:t>
          </a:r>
        </a:p>
      </xdr:txBody>
    </xdr:sp>
    <xdr:clientData/>
  </xdr:oneCellAnchor>
  <xdr:oneCellAnchor>
    <xdr:from>
      <xdr:col>5</xdr:col>
      <xdr:colOff>342900</xdr:colOff>
      <xdr:row>79</xdr:row>
      <xdr:rowOff>0</xdr:rowOff>
    </xdr:from>
    <xdr:ext cx="609600" cy="311496"/>
    <xdr:sp macro="" textlink="">
      <xdr:nvSpPr>
        <xdr:cNvPr id="35" name="CuadroTexto 34">
          <a:extLst>
            <a:ext uri="{FF2B5EF4-FFF2-40B4-BE49-F238E27FC236}">
              <a16:creationId xmlns:a16="http://schemas.microsoft.com/office/drawing/2014/main" id="{5D1A3933-2858-4EC7-984F-3DDAC81C1725}"/>
            </a:ext>
          </a:extLst>
        </xdr:cNvPr>
        <xdr:cNvSpPr txBox="1"/>
      </xdr:nvSpPr>
      <xdr:spPr>
        <a:xfrm>
          <a:off x="4305300" y="14447520"/>
          <a:ext cx="60960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AR" sz="1400">
              <a:solidFill>
                <a:srgbClr val="FF0000"/>
              </a:solidFill>
            </a:rPr>
            <a:t>30</a:t>
          </a:r>
        </a:p>
      </xdr:txBody>
    </xdr:sp>
    <xdr:clientData/>
  </xdr:oneCellAnchor>
  <xdr:oneCellAnchor>
    <xdr:from>
      <xdr:col>6</xdr:col>
      <xdr:colOff>434340</xdr:colOff>
      <xdr:row>79</xdr:row>
      <xdr:rowOff>76200</xdr:rowOff>
    </xdr:from>
    <xdr:ext cx="609600" cy="281940"/>
    <xdr:sp macro="" textlink="">
      <xdr:nvSpPr>
        <xdr:cNvPr id="36" name="CuadroTexto 35">
          <a:extLst>
            <a:ext uri="{FF2B5EF4-FFF2-40B4-BE49-F238E27FC236}">
              <a16:creationId xmlns:a16="http://schemas.microsoft.com/office/drawing/2014/main" id="{65CB945B-CC39-4E5E-B251-CF8D78468E4E}"/>
            </a:ext>
          </a:extLst>
        </xdr:cNvPr>
        <xdr:cNvSpPr txBox="1"/>
      </xdr:nvSpPr>
      <xdr:spPr>
        <a:xfrm>
          <a:off x="5189220" y="14523720"/>
          <a:ext cx="609600" cy="2819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s-AR" sz="1400">
              <a:solidFill>
                <a:srgbClr val="FF0000"/>
              </a:solidFill>
            </a:rPr>
            <a:t>16</a:t>
          </a:r>
        </a:p>
      </xdr:txBody>
    </xdr:sp>
    <xdr:clientData/>
  </xdr:oneCellAnchor>
  <xdr:oneCellAnchor>
    <xdr:from>
      <xdr:col>4</xdr:col>
      <xdr:colOff>746760</xdr:colOff>
      <xdr:row>75</xdr:row>
      <xdr:rowOff>22860</xdr:rowOff>
    </xdr:from>
    <xdr:ext cx="609600" cy="311496"/>
    <xdr:sp macro="" textlink="">
      <xdr:nvSpPr>
        <xdr:cNvPr id="37" name="CuadroTexto 36">
          <a:extLst>
            <a:ext uri="{FF2B5EF4-FFF2-40B4-BE49-F238E27FC236}">
              <a16:creationId xmlns:a16="http://schemas.microsoft.com/office/drawing/2014/main" id="{93DD69FC-F712-4B13-82E2-B8D22D0D7E15}"/>
            </a:ext>
          </a:extLst>
        </xdr:cNvPr>
        <xdr:cNvSpPr txBox="1"/>
      </xdr:nvSpPr>
      <xdr:spPr>
        <a:xfrm>
          <a:off x="3916680" y="13738860"/>
          <a:ext cx="60960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AR" sz="1400">
              <a:solidFill>
                <a:srgbClr val="FF0000"/>
              </a:solidFill>
            </a:rPr>
            <a:t>0</a:t>
          </a:r>
        </a:p>
      </xdr:txBody>
    </xdr:sp>
    <xdr:clientData/>
  </xdr:oneCellAnchor>
  <xdr:oneCellAnchor>
    <xdr:from>
      <xdr:col>7</xdr:col>
      <xdr:colOff>68580</xdr:colOff>
      <xdr:row>75</xdr:row>
      <xdr:rowOff>114300</xdr:rowOff>
    </xdr:from>
    <xdr:ext cx="609600" cy="311496"/>
    <xdr:sp macro="" textlink="">
      <xdr:nvSpPr>
        <xdr:cNvPr id="38" name="CuadroTexto 37">
          <a:extLst>
            <a:ext uri="{FF2B5EF4-FFF2-40B4-BE49-F238E27FC236}">
              <a16:creationId xmlns:a16="http://schemas.microsoft.com/office/drawing/2014/main" id="{D38C8477-2CFF-4210-B436-D5F13250EC41}"/>
            </a:ext>
          </a:extLst>
        </xdr:cNvPr>
        <xdr:cNvSpPr txBox="1"/>
      </xdr:nvSpPr>
      <xdr:spPr>
        <a:xfrm>
          <a:off x="5615940" y="13830300"/>
          <a:ext cx="60960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AR" sz="1400">
              <a:solidFill>
                <a:srgbClr val="FF0000"/>
              </a:solidFill>
            </a:rPr>
            <a:t>45</a:t>
          </a:r>
        </a:p>
      </xdr:txBody>
    </xdr:sp>
    <xdr:clientData/>
  </xdr:oneCellAnchor>
  <xdr:oneCellAnchor>
    <xdr:from>
      <xdr:col>6</xdr:col>
      <xdr:colOff>114300</xdr:colOff>
      <xdr:row>82</xdr:row>
      <xdr:rowOff>0</xdr:rowOff>
    </xdr:from>
    <xdr:ext cx="609600" cy="281940"/>
    <xdr:sp macro="" textlink="">
      <xdr:nvSpPr>
        <xdr:cNvPr id="39" name="CuadroTexto 38">
          <a:extLst>
            <a:ext uri="{FF2B5EF4-FFF2-40B4-BE49-F238E27FC236}">
              <a16:creationId xmlns:a16="http://schemas.microsoft.com/office/drawing/2014/main" id="{841798A2-E752-4194-A61F-351B9483EDF9}"/>
            </a:ext>
          </a:extLst>
        </xdr:cNvPr>
        <xdr:cNvSpPr txBox="1"/>
      </xdr:nvSpPr>
      <xdr:spPr>
        <a:xfrm>
          <a:off x="4869180" y="14996160"/>
          <a:ext cx="609600" cy="2819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s-AR" sz="1400">
              <a:solidFill>
                <a:srgbClr val="FF0000"/>
              </a:solidFill>
            </a:rPr>
            <a:t>10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274321</xdr:colOff>
      <xdr:row>24</xdr:row>
      <xdr:rowOff>152400</xdr:rowOff>
    </xdr:from>
    <xdr:to>
      <xdr:col>7</xdr:col>
      <xdr:colOff>540916</xdr:colOff>
      <xdr:row>45</xdr:row>
      <xdr:rowOff>167642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52E2CC5-2F8C-4C21-9F21-AF8D7BDF088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3702"/>
        <a:stretch/>
      </xdr:blipFill>
      <xdr:spPr bwMode="auto">
        <a:xfrm>
          <a:off x="1859281" y="4556760"/>
          <a:ext cx="4228995" cy="38557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4</xdr:col>
      <xdr:colOff>609601</xdr:colOff>
      <xdr:row>34</xdr:row>
      <xdr:rowOff>38100</xdr:rowOff>
    </xdr:from>
    <xdr:ext cx="609600" cy="311496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A0444643-BB9E-46E1-9E55-B14F05FF0B41}"/>
            </a:ext>
          </a:extLst>
        </xdr:cNvPr>
        <xdr:cNvSpPr txBox="1"/>
      </xdr:nvSpPr>
      <xdr:spPr>
        <a:xfrm>
          <a:off x="3779521" y="6271260"/>
          <a:ext cx="60960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AR" sz="1400">
              <a:solidFill>
                <a:srgbClr val="FF0000"/>
              </a:solidFill>
            </a:rPr>
            <a:t>15</a:t>
          </a:r>
        </a:p>
      </xdr:txBody>
    </xdr:sp>
    <xdr:clientData/>
  </xdr:oneCellAnchor>
  <xdr:oneCellAnchor>
    <xdr:from>
      <xdr:col>5</xdr:col>
      <xdr:colOff>510540</xdr:colOff>
      <xdr:row>41</xdr:row>
      <xdr:rowOff>149134</xdr:rowOff>
    </xdr:from>
    <xdr:ext cx="739139" cy="311496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120ED808-1AB0-454B-BF03-5E73EE18D974}"/>
            </a:ext>
          </a:extLst>
        </xdr:cNvPr>
        <xdr:cNvSpPr txBox="1"/>
      </xdr:nvSpPr>
      <xdr:spPr>
        <a:xfrm>
          <a:off x="4483826" y="7747363"/>
          <a:ext cx="739139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AR" sz="1400">
              <a:solidFill>
                <a:srgbClr val="FF0000"/>
              </a:solidFill>
            </a:rPr>
            <a:t>Vainilla</a:t>
          </a:r>
        </a:p>
      </xdr:txBody>
    </xdr:sp>
    <xdr:clientData/>
  </xdr:oneCellAnchor>
  <xdr:oneCellAnchor>
    <xdr:from>
      <xdr:col>6</xdr:col>
      <xdr:colOff>327660</xdr:colOff>
      <xdr:row>29</xdr:row>
      <xdr:rowOff>68580</xdr:rowOff>
    </xdr:from>
    <xdr:ext cx="701040" cy="311496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3BBC4416-E559-465C-85A8-8F2F25A251CC}"/>
            </a:ext>
          </a:extLst>
        </xdr:cNvPr>
        <xdr:cNvSpPr txBox="1"/>
      </xdr:nvSpPr>
      <xdr:spPr>
        <a:xfrm>
          <a:off x="5082540" y="5387340"/>
          <a:ext cx="70104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AR" sz="1400">
              <a:solidFill>
                <a:srgbClr val="FF0000"/>
              </a:solidFill>
            </a:rPr>
            <a:t>Frutilla</a:t>
          </a:r>
        </a:p>
      </xdr:txBody>
    </xdr:sp>
    <xdr:clientData/>
  </xdr:oneCellAnchor>
  <xdr:oneCellAnchor>
    <xdr:from>
      <xdr:col>2</xdr:col>
      <xdr:colOff>419100</xdr:colOff>
      <xdr:row>28</xdr:row>
      <xdr:rowOff>83820</xdr:rowOff>
    </xdr:from>
    <xdr:ext cx="982981" cy="311496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EABE1A35-17DA-458C-82B5-D1261616E027}"/>
            </a:ext>
          </a:extLst>
        </xdr:cNvPr>
        <xdr:cNvSpPr txBox="1"/>
      </xdr:nvSpPr>
      <xdr:spPr>
        <a:xfrm>
          <a:off x="2004060" y="5219700"/>
          <a:ext cx="982981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AR" sz="1400">
              <a:solidFill>
                <a:srgbClr val="FF0000"/>
              </a:solidFill>
            </a:rPr>
            <a:t>Chocolate</a:t>
          </a:r>
        </a:p>
      </xdr:txBody>
    </xdr:sp>
    <xdr:clientData/>
  </xdr:oneCellAnchor>
  <xdr:oneCellAnchor>
    <xdr:from>
      <xdr:col>5</xdr:col>
      <xdr:colOff>320040</xdr:colOff>
      <xdr:row>36</xdr:row>
      <xdr:rowOff>7620</xdr:rowOff>
    </xdr:from>
    <xdr:ext cx="609600" cy="311496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57D54BAF-B66D-4B6E-B267-50CC93E32D50}"/>
            </a:ext>
          </a:extLst>
        </xdr:cNvPr>
        <xdr:cNvSpPr txBox="1"/>
      </xdr:nvSpPr>
      <xdr:spPr>
        <a:xfrm>
          <a:off x="4282440" y="6606540"/>
          <a:ext cx="60960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AR" sz="1400">
              <a:solidFill>
                <a:srgbClr val="FF0000"/>
              </a:solidFill>
            </a:rPr>
            <a:t>32</a:t>
          </a:r>
        </a:p>
      </xdr:txBody>
    </xdr:sp>
    <xdr:clientData/>
  </xdr:oneCellAnchor>
  <xdr:oneCellAnchor>
    <xdr:from>
      <xdr:col>4</xdr:col>
      <xdr:colOff>213361</xdr:colOff>
      <xdr:row>36</xdr:row>
      <xdr:rowOff>15240</xdr:rowOff>
    </xdr:from>
    <xdr:ext cx="609600" cy="311496"/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414EF88C-5CF5-4285-8643-20DB8E37FDCF}"/>
            </a:ext>
          </a:extLst>
        </xdr:cNvPr>
        <xdr:cNvSpPr txBox="1"/>
      </xdr:nvSpPr>
      <xdr:spPr>
        <a:xfrm>
          <a:off x="3383281" y="6614160"/>
          <a:ext cx="60960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AR" sz="1400">
              <a:solidFill>
                <a:srgbClr val="FF0000"/>
              </a:solidFill>
            </a:rPr>
            <a:t>0</a:t>
          </a:r>
        </a:p>
      </xdr:txBody>
    </xdr:sp>
    <xdr:clientData/>
  </xdr:oneCellAnchor>
  <xdr:oneCellAnchor>
    <xdr:from>
      <xdr:col>4</xdr:col>
      <xdr:colOff>670560</xdr:colOff>
      <xdr:row>39</xdr:row>
      <xdr:rowOff>76200</xdr:rowOff>
    </xdr:from>
    <xdr:ext cx="609600" cy="311496"/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18978F96-0359-4756-A63C-CDC04C1B270E}"/>
            </a:ext>
          </a:extLst>
        </xdr:cNvPr>
        <xdr:cNvSpPr txBox="1"/>
      </xdr:nvSpPr>
      <xdr:spPr>
        <a:xfrm>
          <a:off x="3840480" y="7223760"/>
          <a:ext cx="60960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AR" sz="1400">
              <a:solidFill>
                <a:srgbClr val="FF0000"/>
              </a:solidFill>
            </a:rPr>
            <a:t>30</a:t>
          </a:r>
        </a:p>
      </xdr:txBody>
    </xdr:sp>
    <xdr:clientData/>
  </xdr:oneCellAnchor>
  <xdr:oneCellAnchor>
    <xdr:from>
      <xdr:col>6</xdr:col>
      <xdr:colOff>228601</xdr:colOff>
      <xdr:row>39</xdr:row>
      <xdr:rowOff>53340</xdr:rowOff>
    </xdr:from>
    <xdr:ext cx="609600" cy="311496"/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A6971D58-4E64-48D4-B2A9-CBC78B657A0F}"/>
            </a:ext>
          </a:extLst>
        </xdr:cNvPr>
        <xdr:cNvSpPr txBox="1"/>
      </xdr:nvSpPr>
      <xdr:spPr>
        <a:xfrm>
          <a:off x="4983481" y="7200900"/>
          <a:ext cx="60960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AR" sz="1400">
              <a:solidFill>
                <a:srgbClr val="FF0000"/>
              </a:solidFill>
            </a:rPr>
            <a:t>1</a:t>
          </a:r>
        </a:p>
      </xdr:txBody>
    </xdr:sp>
    <xdr:clientData/>
  </xdr:oneCellAnchor>
  <xdr:oneCellAnchor>
    <xdr:from>
      <xdr:col>6</xdr:col>
      <xdr:colOff>457200</xdr:colOff>
      <xdr:row>26</xdr:row>
      <xdr:rowOff>106680</xdr:rowOff>
    </xdr:from>
    <xdr:ext cx="670559" cy="311496"/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D2D969CD-C660-43E8-8335-017323FFCCC7}"/>
            </a:ext>
          </a:extLst>
        </xdr:cNvPr>
        <xdr:cNvSpPr txBox="1"/>
      </xdr:nvSpPr>
      <xdr:spPr>
        <a:xfrm>
          <a:off x="5212080" y="4876800"/>
          <a:ext cx="670559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AR" sz="1400">
              <a:solidFill>
                <a:srgbClr val="FF0000"/>
              </a:solidFill>
            </a:rPr>
            <a:t>U=200</a:t>
          </a:r>
        </a:p>
      </xdr:txBody>
    </xdr:sp>
    <xdr:clientData/>
  </xdr:oneCellAnchor>
  <xdr:oneCellAnchor>
    <xdr:from>
      <xdr:col>3</xdr:col>
      <xdr:colOff>533401</xdr:colOff>
      <xdr:row>32</xdr:row>
      <xdr:rowOff>0</xdr:rowOff>
    </xdr:from>
    <xdr:ext cx="609600" cy="311496"/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C6B40CD1-89BB-4724-A1A0-5F0B90157ED4}"/>
            </a:ext>
          </a:extLst>
        </xdr:cNvPr>
        <xdr:cNvSpPr txBox="1"/>
      </xdr:nvSpPr>
      <xdr:spPr>
        <a:xfrm>
          <a:off x="2910841" y="5867400"/>
          <a:ext cx="60960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AR" sz="1400">
              <a:solidFill>
                <a:srgbClr val="FF0000"/>
              </a:solidFill>
            </a:rPr>
            <a:t>85</a:t>
          </a:r>
        </a:p>
      </xdr:txBody>
    </xdr:sp>
    <xdr:clientData/>
  </xdr:oneCellAnchor>
  <xdr:oneCellAnchor>
    <xdr:from>
      <xdr:col>5</xdr:col>
      <xdr:colOff>548641</xdr:colOff>
      <xdr:row>31</xdr:row>
      <xdr:rowOff>137160</xdr:rowOff>
    </xdr:from>
    <xdr:ext cx="723899" cy="311496"/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1097BA39-2472-402B-8BC6-B53BAC558885}"/>
            </a:ext>
          </a:extLst>
        </xdr:cNvPr>
        <xdr:cNvSpPr txBox="1"/>
      </xdr:nvSpPr>
      <xdr:spPr>
        <a:xfrm>
          <a:off x="4511041" y="5821680"/>
          <a:ext cx="723899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AR" sz="1400">
              <a:solidFill>
                <a:srgbClr val="FF0000"/>
              </a:solidFill>
            </a:rPr>
            <a:t>12</a:t>
          </a:r>
        </a:p>
      </xdr:txBody>
    </xdr:sp>
    <xdr:clientData/>
  </xdr:oneCellAnchor>
  <xdr:oneCellAnchor>
    <xdr:from>
      <xdr:col>4</xdr:col>
      <xdr:colOff>609601</xdr:colOff>
      <xdr:row>32</xdr:row>
      <xdr:rowOff>7620</xdr:rowOff>
    </xdr:from>
    <xdr:ext cx="723899" cy="311496"/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455456D7-E772-4F05-BEDB-BD2F8B36827F}"/>
            </a:ext>
          </a:extLst>
        </xdr:cNvPr>
        <xdr:cNvSpPr txBox="1"/>
      </xdr:nvSpPr>
      <xdr:spPr>
        <a:xfrm>
          <a:off x="3779521" y="5875020"/>
          <a:ext cx="723899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AR" sz="1400">
              <a:solidFill>
                <a:srgbClr val="FF0000"/>
              </a:solidFill>
            </a:rPr>
            <a:t>25</a:t>
          </a:r>
        </a:p>
      </xdr:txBody>
    </xdr:sp>
    <xdr:clientData/>
  </xdr:oneCellAnchor>
  <xdr:twoCellAnchor editAs="oneCell">
    <xdr:from>
      <xdr:col>7</xdr:col>
      <xdr:colOff>243840</xdr:colOff>
      <xdr:row>27</xdr:row>
      <xdr:rowOff>134546</xdr:rowOff>
    </xdr:from>
    <xdr:to>
      <xdr:col>17</xdr:col>
      <xdr:colOff>552920</xdr:colOff>
      <xdr:row>43</xdr:row>
      <xdr:rowOff>68579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2E200C2E-EF09-41B6-ABF3-38294DACE3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91200" y="5087546"/>
          <a:ext cx="8233880" cy="2860113"/>
        </a:xfrm>
        <a:prstGeom prst="rect">
          <a:avLst/>
        </a:prstGeom>
      </xdr:spPr>
    </xdr:pic>
    <xdr:clientData/>
  </xdr:twoCellAnchor>
  <xdr:twoCellAnchor editAs="oneCell">
    <xdr:from>
      <xdr:col>2</xdr:col>
      <xdr:colOff>324395</xdr:colOff>
      <xdr:row>46</xdr:row>
      <xdr:rowOff>39189</xdr:rowOff>
    </xdr:from>
    <xdr:to>
      <xdr:col>7</xdr:col>
      <xdr:colOff>590990</xdr:colOff>
      <xdr:row>67</xdr:row>
      <xdr:rowOff>54431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7992F2CD-4E42-495B-ADFC-F47D1C0E3E5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3702"/>
        <a:stretch/>
      </xdr:blipFill>
      <xdr:spPr bwMode="auto">
        <a:xfrm>
          <a:off x="1914656" y="8586841"/>
          <a:ext cx="4242247" cy="39113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</xdr:col>
      <xdr:colOff>652054</xdr:colOff>
      <xdr:row>63</xdr:row>
      <xdr:rowOff>7620</xdr:rowOff>
    </xdr:from>
    <xdr:ext cx="739139" cy="311496"/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F74B1222-C2ED-4B75-9DF5-457677A6C02E}"/>
            </a:ext>
          </a:extLst>
        </xdr:cNvPr>
        <xdr:cNvSpPr txBox="1"/>
      </xdr:nvSpPr>
      <xdr:spPr>
        <a:xfrm>
          <a:off x="4625340" y="11677106"/>
          <a:ext cx="739139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AR" sz="1400">
              <a:solidFill>
                <a:srgbClr val="FF0000"/>
              </a:solidFill>
            </a:rPr>
            <a:t>Lacteo</a:t>
          </a:r>
        </a:p>
      </xdr:txBody>
    </xdr:sp>
    <xdr:clientData/>
  </xdr:oneCellAnchor>
  <xdr:oneCellAnchor>
    <xdr:from>
      <xdr:col>6</xdr:col>
      <xdr:colOff>369026</xdr:colOff>
      <xdr:row>50</xdr:row>
      <xdr:rowOff>94705</xdr:rowOff>
    </xdr:from>
    <xdr:ext cx="795746" cy="311496"/>
    <xdr:sp macro="" textlink="">
      <xdr:nvSpPr>
        <xdr:cNvPr id="20" name="CuadroTexto 19">
          <a:extLst>
            <a:ext uri="{FF2B5EF4-FFF2-40B4-BE49-F238E27FC236}">
              <a16:creationId xmlns:a16="http://schemas.microsoft.com/office/drawing/2014/main" id="{6508F9E3-1082-4519-B00E-653A37394CB8}"/>
            </a:ext>
          </a:extLst>
        </xdr:cNvPr>
        <xdr:cNvSpPr txBox="1"/>
      </xdr:nvSpPr>
      <xdr:spPr>
        <a:xfrm>
          <a:off x="5136969" y="9358448"/>
          <a:ext cx="795746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AR" sz="1400">
              <a:solidFill>
                <a:srgbClr val="FF0000"/>
              </a:solidFill>
            </a:rPr>
            <a:t>Verdura</a:t>
          </a:r>
        </a:p>
      </xdr:txBody>
    </xdr:sp>
    <xdr:clientData/>
  </xdr:oneCellAnchor>
  <xdr:oneCellAnchor>
    <xdr:from>
      <xdr:col>2</xdr:col>
      <xdr:colOff>717369</xdr:colOff>
      <xdr:row>50</xdr:row>
      <xdr:rowOff>40276</xdr:rowOff>
    </xdr:from>
    <xdr:ext cx="739139" cy="311496"/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86A2CAC3-B385-46EE-97E9-FD02892BC1AB}"/>
            </a:ext>
          </a:extLst>
        </xdr:cNvPr>
        <xdr:cNvSpPr txBox="1"/>
      </xdr:nvSpPr>
      <xdr:spPr>
        <a:xfrm>
          <a:off x="2306683" y="9304019"/>
          <a:ext cx="739139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AR" sz="1400">
              <a:solidFill>
                <a:srgbClr val="FF0000"/>
              </a:solidFill>
            </a:rPr>
            <a:t>Fruta</a:t>
          </a:r>
        </a:p>
      </xdr:txBody>
    </xdr:sp>
    <xdr:clientData/>
  </xdr:oneCellAnchor>
  <xdr:oneCellAnchor>
    <xdr:from>
      <xdr:col>4</xdr:col>
      <xdr:colOff>674630</xdr:colOff>
      <xdr:row>53</xdr:row>
      <xdr:rowOff>54807</xdr:rowOff>
    </xdr:from>
    <xdr:ext cx="609600" cy="311496"/>
    <xdr:sp macro="" textlink="">
      <xdr:nvSpPr>
        <xdr:cNvPr id="26" name="CuadroTexto 25">
          <a:extLst>
            <a:ext uri="{FF2B5EF4-FFF2-40B4-BE49-F238E27FC236}">
              <a16:creationId xmlns:a16="http://schemas.microsoft.com/office/drawing/2014/main" id="{31E63FDA-789A-45D7-9691-1AF09E92CB65}"/>
            </a:ext>
          </a:extLst>
        </xdr:cNvPr>
        <xdr:cNvSpPr txBox="1"/>
      </xdr:nvSpPr>
      <xdr:spPr>
        <a:xfrm>
          <a:off x="3855152" y="9901172"/>
          <a:ext cx="60960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AR" sz="1400">
              <a:solidFill>
                <a:srgbClr val="FF0000"/>
              </a:solidFill>
            </a:rPr>
            <a:t>70</a:t>
          </a:r>
        </a:p>
      </xdr:txBody>
    </xdr:sp>
    <xdr:clientData/>
  </xdr:oneCellAnchor>
  <xdr:oneCellAnchor>
    <xdr:from>
      <xdr:col>4</xdr:col>
      <xdr:colOff>648126</xdr:colOff>
      <xdr:row>55</xdr:row>
      <xdr:rowOff>81312</xdr:rowOff>
    </xdr:from>
    <xdr:ext cx="609600" cy="311496"/>
    <xdr:sp macro="" textlink="">
      <xdr:nvSpPr>
        <xdr:cNvPr id="27" name="CuadroTexto 26">
          <a:extLst>
            <a:ext uri="{FF2B5EF4-FFF2-40B4-BE49-F238E27FC236}">
              <a16:creationId xmlns:a16="http://schemas.microsoft.com/office/drawing/2014/main" id="{C1962FE3-49F8-46A1-B0F9-5154A6640DE5}"/>
            </a:ext>
          </a:extLst>
        </xdr:cNvPr>
        <xdr:cNvSpPr txBox="1"/>
      </xdr:nvSpPr>
      <xdr:spPr>
        <a:xfrm>
          <a:off x="3828648" y="10298738"/>
          <a:ext cx="60960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AR" sz="1400">
              <a:solidFill>
                <a:srgbClr val="FF0000"/>
              </a:solidFill>
            </a:rPr>
            <a:t>50</a:t>
          </a:r>
        </a:p>
      </xdr:txBody>
    </xdr:sp>
    <xdr:clientData/>
  </xdr:oneCellAnchor>
  <xdr:oneCellAnchor>
    <xdr:from>
      <xdr:col>5</xdr:col>
      <xdr:colOff>694510</xdr:colOff>
      <xdr:row>53</xdr:row>
      <xdr:rowOff>174078</xdr:rowOff>
    </xdr:from>
    <xdr:ext cx="609600" cy="311496"/>
    <xdr:sp macro="" textlink="">
      <xdr:nvSpPr>
        <xdr:cNvPr id="28" name="CuadroTexto 27">
          <a:extLst>
            <a:ext uri="{FF2B5EF4-FFF2-40B4-BE49-F238E27FC236}">
              <a16:creationId xmlns:a16="http://schemas.microsoft.com/office/drawing/2014/main" id="{CE81E5F0-0272-462F-9248-4D8320FC67C7}"/>
            </a:ext>
          </a:extLst>
        </xdr:cNvPr>
        <xdr:cNvSpPr txBox="1"/>
      </xdr:nvSpPr>
      <xdr:spPr>
        <a:xfrm>
          <a:off x="4670162" y="10020443"/>
          <a:ext cx="60960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AR" sz="1400">
              <a:solidFill>
                <a:srgbClr val="FF0000"/>
              </a:solidFill>
            </a:rPr>
            <a:t>140</a:t>
          </a:r>
        </a:p>
      </xdr:txBody>
    </xdr:sp>
    <xdr:clientData/>
  </xdr:oneCellAnchor>
  <xdr:oneCellAnchor>
    <xdr:from>
      <xdr:col>4</xdr:col>
      <xdr:colOff>695456</xdr:colOff>
      <xdr:row>60</xdr:row>
      <xdr:rowOff>112076</xdr:rowOff>
    </xdr:from>
    <xdr:ext cx="609600" cy="311496"/>
    <xdr:sp macro="" textlink="">
      <xdr:nvSpPr>
        <xdr:cNvPr id="29" name="CuadroTexto 28">
          <a:extLst>
            <a:ext uri="{FF2B5EF4-FFF2-40B4-BE49-F238E27FC236}">
              <a16:creationId xmlns:a16="http://schemas.microsoft.com/office/drawing/2014/main" id="{8F80D64D-D071-4EE1-9E71-F4DABC65E70D}"/>
            </a:ext>
          </a:extLst>
        </xdr:cNvPr>
        <xdr:cNvSpPr txBox="1"/>
      </xdr:nvSpPr>
      <xdr:spPr>
        <a:xfrm>
          <a:off x="3875978" y="11257154"/>
          <a:ext cx="60960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AR" sz="1400">
              <a:solidFill>
                <a:srgbClr val="FF0000"/>
              </a:solidFill>
            </a:rPr>
            <a:t>140</a:t>
          </a:r>
        </a:p>
      </xdr:txBody>
    </xdr:sp>
    <xdr:clientData/>
  </xdr:oneCellAnchor>
  <xdr:oneCellAnchor>
    <xdr:from>
      <xdr:col>3</xdr:col>
      <xdr:colOff>615943</xdr:colOff>
      <xdr:row>53</xdr:row>
      <xdr:rowOff>52441</xdr:rowOff>
    </xdr:from>
    <xdr:ext cx="609600" cy="311496"/>
    <xdr:sp macro="" textlink="">
      <xdr:nvSpPr>
        <xdr:cNvPr id="30" name="CuadroTexto 29">
          <a:extLst>
            <a:ext uri="{FF2B5EF4-FFF2-40B4-BE49-F238E27FC236}">
              <a16:creationId xmlns:a16="http://schemas.microsoft.com/office/drawing/2014/main" id="{C556AD9D-6DB9-44EB-A535-716DD52DEB5C}"/>
            </a:ext>
          </a:extLst>
        </xdr:cNvPr>
        <xdr:cNvSpPr txBox="1"/>
      </xdr:nvSpPr>
      <xdr:spPr>
        <a:xfrm>
          <a:off x="3001334" y="9898806"/>
          <a:ext cx="60960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AR" sz="1400">
              <a:solidFill>
                <a:srgbClr val="FF0000"/>
              </a:solidFill>
            </a:rPr>
            <a:t>170</a:t>
          </a:r>
        </a:p>
      </xdr:txBody>
    </xdr:sp>
    <xdr:clientData/>
  </xdr:oneCellAnchor>
  <xdr:oneCellAnchor>
    <xdr:from>
      <xdr:col>4</xdr:col>
      <xdr:colOff>205126</xdr:colOff>
      <xdr:row>57</xdr:row>
      <xdr:rowOff>59067</xdr:rowOff>
    </xdr:from>
    <xdr:ext cx="609600" cy="311496"/>
    <xdr:sp macro="" textlink="">
      <xdr:nvSpPr>
        <xdr:cNvPr id="31" name="CuadroTexto 30">
          <a:extLst>
            <a:ext uri="{FF2B5EF4-FFF2-40B4-BE49-F238E27FC236}">
              <a16:creationId xmlns:a16="http://schemas.microsoft.com/office/drawing/2014/main" id="{B99F1F3B-E7FC-406B-8303-3314FA9F250D}"/>
            </a:ext>
          </a:extLst>
        </xdr:cNvPr>
        <xdr:cNvSpPr txBox="1"/>
      </xdr:nvSpPr>
      <xdr:spPr>
        <a:xfrm>
          <a:off x="3385648" y="10647554"/>
          <a:ext cx="60960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AR" sz="1400">
              <a:solidFill>
                <a:srgbClr val="FF0000"/>
              </a:solidFill>
            </a:rPr>
            <a:t>20</a:t>
          </a:r>
        </a:p>
      </xdr:txBody>
    </xdr:sp>
    <xdr:clientData/>
  </xdr:oneCellAnchor>
  <xdr:oneCellAnchor>
    <xdr:from>
      <xdr:col>5</xdr:col>
      <xdr:colOff>336701</xdr:colOff>
      <xdr:row>57</xdr:row>
      <xdr:rowOff>61435</xdr:rowOff>
    </xdr:from>
    <xdr:ext cx="609600" cy="311496"/>
    <xdr:sp macro="" textlink="">
      <xdr:nvSpPr>
        <xdr:cNvPr id="32" name="CuadroTexto 31">
          <a:extLst>
            <a:ext uri="{FF2B5EF4-FFF2-40B4-BE49-F238E27FC236}">
              <a16:creationId xmlns:a16="http://schemas.microsoft.com/office/drawing/2014/main" id="{DF474741-B4D7-40E3-B948-7F085F22CA11}"/>
            </a:ext>
          </a:extLst>
        </xdr:cNvPr>
        <xdr:cNvSpPr txBox="1"/>
      </xdr:nvSpPr>
      <xdr:spPr>
        <a:xfrm>
          <a:off x="4312353" y="10649922"/>
          <a:ext cx="60960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AR" sz="1400">
              <a:solidFill>
                <a:srgbClr val="FF0000"/>
              </a:solidFill>
            </a:rPr>
            <a:t>90</a:t>
          </a:r>
        </a:p>
      </xdr:txBody>
    </xdr:sp>
    <xdr:clientData/>
  </xdr:oneCellAnchor>
  <xdr:twoCellAnchor editAs="oneCell">
    <xdr:from>
      <xdr:col>8</xdr:col>
      <xdr:colOff>139148</xdr:colOff>
      <xdr:row>49</xdr:row>
      <xdr:rowOff>53009</xdr:rowOff>
    </xdr:from>
    <xdr:to>
      <xdr:col>10</xdr:col>
      <xdr:colOff>568469</xdr:colOff>
      <xdr:row>62</xdr:row>
      <xdr:rowOff>184643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BF9BD12-C7FB-4697-A58B-C511487DB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500191" y="9157252"/>
          <a:ext cx="2019582" cy="25435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2"/>
  <sheetViews>
    <sheetView zoomScaleNormal="100" workbookViewId="0">
      <selection activeCell="E10" sqref="E10"/>
    </sheetView>
  </sheetViews>
  <sheetFormatPr baseColWidth="10" defaultColWidth="8.88671875" defaultRowHeight="14.4" x14ac:dyDescent="0.3"/>
  <cols>
    <col min="1" max="1" width="11.21875" bestFit="1" customWidth="1"/>
    <col min="2" max="2" width="11.5546875" bestFit="1" customWidth="1"/>
    <col min="3" max="3" width="11.33203125" bestFit="1" customWidth="1"/>
    <col min="4" max="9" width="11.5546875" bestFit="1" customWidth="1"/>
    <col min="10" max="10" width="11.21875" bestFit="1" customWidth="1"/>
    <col min="11" max="11" width="14" customWidth="1"/>
    <col min="12" max="12" width="12.5546875" customWidth="1"/>
    <col min="13" max="13" width="11.44140625" bestFit="1" customWidth="1"/>
    <col min="14" max="14" width="11.33203125" customWidth="1"/>
    <col min="15" max="15" width="11.21875" bestFit="1" customWidth="1"/>
  </cols>
  <sheetData>
    <row r="1" spans="1:8" x14ac:dyDescent="0.3">
      <c r="A1" t="s">
        <v>0</v>
      </c>
    </row>
    <row r="2" spans="1:8" x14ac:dyDescent="0.3">
      <c r="A2" t="s">
        <v>1</v>
      </c>
      <c r="D2" s="20" t="s">
        <v>5</v>
      </c>
      <c r="E2" s="41" t="s">
        <v>6</v>
      </c>
      <c r="F2" s="20" t="s">
        <v>7</v>
      </c>
    </row>
    <row r="3" spans="1:8" x14ac:dyDescent="0.3">
      <c r="A3" t="s">
        <v>2</v>
      </c>
      <c r="D3" s="20" t="b">
        <f>TRUE</f>
        <v>1</v>
      </c>
      <c r="E3" s="41" t="b">
        <f>IF(D3=FALSE,F3,TRUE)</f>
        <v>1</v>
      </c>
      <c r="F3" s="20" t="b">
        <f>TRUE</f>
        <v>1</v>
      </c>
    </row>
    <row r="4" spans="1:8" x14ac:dyDescent="0.3">
      <c r="A4" t="s">
        <v>3</v>
      </c>
      <c r="D4" s="20" t="b">
        <f>FALSE</f>
        <v>0</v>
      </c>
      <c r="E4" s="41" t="b">
        <f t="shared" ref="E4:E6" si="0">IF(D4=FALSE,F4,TRUE)</f>
        <v>1</v>
      </c>
      <c r="F4" s="20" t="b">
        <f>TRUE</f>
        <v>1</v>
      </c>
    </row>
    <row r="5" spans="1:8" x14ac:dyDescent="0.3">
      <c r="A5" t="s">
        <v>4</v>
      </c>
      <c r="D5" s="20" t="b">
        <f>TRUE</f>
        <v>1</v>
      </c>
      <c r="E5" s="41" t="b">
        <f t="shared" si="0"/>
        <v>1</v>
      </c>
      <c r="F5" s="20" t="b">
        <f>FALSE</f>
        <v>0</v>
      </c>
    </row>
    <row r="6" spans="1:8" x14ac:dyDescent="0.3">
      <c r="D6" s="20" t="b">
        <f>FALSE</f>
        <v>0</v>
      </c>
      <c r="E6" s="41" t="b">
        <f t="shared" si="0"/>
        <v>0</v>
      </c>
      <c r="F6" s="20" t="b">
        <f>FALSE</f>
        <v>0</v>
      </c>
    </row>
    <row r="9" spans="1:8" x14ac:dyDescent="0.3">
      <c r="A9" t="s">
        <v>8</v>
      </c>
      <c r="D9" s="20" t="s">
        <v>5</v>
      </c>
      <c r="E9" s="41" t="s">
        <v>10</v>
      </c>
      <c r="F9" s="20" t="s">
        <v>7</v>
      </c>
    </row>
    <row r="10" spans="1:8" x14ac:dyDescent="0.3">
      <c r="A10" t="s">
        <v>9</v>
      </c>
      <c r="D10" s="20" t="b">
        <f>TRUE</f>
        <v>1</v>
      </c>
      <c r="E10" s="41" t="b">
        <f>IF(D10,F10,FALSE)</f>
        <v>1</v>
      </c>
      <c r="F10" s="20" t="b">
        <f>TRUE</f>
        <v>1</v>
      </c>
    </row>
    <row r="11" spans="1:8" x14ac:dyDescent="0.3">
      <c r="A11" t="s">
        <v>11</v>
      </c>
      <c r="D11" s="20" t="b">
        <f>FALSE</f>
        <v>0</v>
      </c>
      <c r="E11" s="41" t="b">
        <f t="shared" ref="E11:E13" si="1">IF(D11,F11,FALSE)</f>
        <v>0</v>
      </c>
      <c r="F11" s="20" t="b">
        <f>TRUE</f>
        <v>1</v>
      </c>
    </row>
    <row r="12" spans="1:8" x14ac:dyDescent="0.3">
      <c r="A12" t="s">
        <v>12</v>
      </c>
      <c r="B12" s="1"/>
      <c r="D12" s="20" t="b">
        <f>TRUE</f>
        <v>1</v>
      </c>
      <c r="E12" s="41" t="b">
        <f t="shared" si="1"/>
        <v>0</v>
      </c>
      <c r="F12" s="20" t="b">
        <f>FALSE</f>
        <v>0</v>
      </c>
    </row>
    <row r="13" spans="1:8" x14ac:dyDescent="0.3">
      <c r="A13" t="s">
        <v>13</v>
      </c>
      <c r="B13" s="1"/>
      <c r="D13" s="20" t="b">
        <f>FALSE</f>
        <v>0</v>
      </c>
      <c r="E13" s="41" t="b">
        <f t="shared" si="1"/>
        <v>0</v>
      </c>
      <c r="F13" s="20" t="b">
        <f>FALSE</f>
        <v>0</v>
      </c>
      <c r="H13" s="44"/>
    </row>
    <row r="14" spans="1:8" x14ac:dyDescent="0.3">
      <c r="B14" s="1"/>
      <c r="H14" s="44"/>
    </row>
    <row r="15" spans="1:8" x14ac:dyDescent="0.3">
      <c r="A15" t="s">
        <v>14</v>
      </c>
      <c r="B15" s="1"/>
      <c r="H15" s="44"/>
    </row>
    <row r="16" spans="1:8" x14ac:dyDescent="0.3">
      <c r="A16" t="s">
        <v>15</v>
      </c>
      <c r="E16" s="20" t="s">
        <v>5</v>
      </c>
      <c r="F16" s="41" t="s">
        <v>19</v>
      </c>
      <c r="G16" s="20" t="s">
        <v>7</v>
      </c>
      <c r="H16" s="44"/>
    </row>
    <row r="17" spans="1:8" x14ac:dyDescent="0.3">
      <c r="A17" t="s">
        <v>16</v>
      </c>
      <c r="E17" s="20" t="b">
        <f>TRUE</f>
        <v>1</v>
      </c>
      <c r="F17" s="41" t="b">
        <f>IF(E17,G17,TRUE)</f>
        <v>1</v>
      </c>
      <c r="G17" s="20" t="b">
        <f>TRUE</f>
        <v>1</v>
      </c>
    </row>
    <row r="18" spans="1:8" x14ac:dyDescent="0.3">
      <c r="A18" t="s">
        <v>17</v>
      </c>
      <c r="E18" s="20" t="b">
        <f>FALSE</f>
        <v>0</v>
      </c>
      <c r="F18" s="41" t="b">
        <f t="shared" ref="F18:F20" si="2">IF(E18,G18,TRUE)</f>
        <v>1</v>
      </c>
      <c r="G18" s="20" t="b">
        <f>TRUE</f>
        <v>1</v>
      </c>
    </row>
    <row r="19" spans="1:8" x14ac:dyDescent="0.3">
      <c r="A19" t="s">
        <v>18</v>
      </c>
      <c r="E19" s="20" t="b">
        <f>TRUE</f>
        <v>1</v>
      </c>
      <c r="F19" s="41" t="b">
        <f t="shared" si="2"/>
        <v>0</v>
      </c>
      <c r="G19" s="20" t="b">
        <f>FALSE</f>
        <v>0</v>
      </c>
    </row>
    <row r="20" spans="1:8" x14ac:dyDescent="0.3">
      <c r="E20" s="20" t="b">
        <f>FALSE</f>
        <v>0</v>
      </c>
      <c r="F20" s="41" t="b">
        <f t="shared" si="2"/>
        <v>1</v>
      </c>
      <c r="G20" s="20" t="b">
        <f>FALSE</f>
        <v>0</v>
      </c>
    </row>
    <row r="23" spans="1:8" x14ac:dyDescent="0.3">
      <c r="A23" t="s">
        <v>20</v>
      </c>
      <c r="C23" s="20" t="s">
        <v>5</v>
      </c>
      <c r="D23" s="42" t="s">
        <v>22</v>
      </c>
      <c r="F23" s="44"/>
      <c r="G23" s="44"/>
      <c r="H23" s="44"/>
    </row>
    <row r="24" spans="1:8" x14ac:dyDescent="0.3">
      <c r="A24" t="s">
        <v>21</v>
      </c>
      <c r="C24" s="20" t="b">
        <f>TRUE</f>
        <v>1</v>
      </c>
      <c r="D24" s="42" t="b">
        <f>FALSE</f>
        <v>0</v>
      </c>
      <c r="F24" s="44"/>
      <c r="G24" s="44"/>
      <c r="H24" s="44"/>
    </row>
    <row r="25" spans="1:8" x14ac:dyDescent="0.3">
      <c r="C25" s="20" t="b">
        <f>FALSE</f>
        <v>0</v>
      </c>
      <c r="D25" s="42" t="b">
        <f>TRUE</f>
        <v>1</v>
      </c>
      <c r="F25" s="44"/>
      <c r="G25" s="44"/>
      <c r="H25" s="44"/>
    </row>
    <row r="27" spans="1:8" x14ac:dyDescent="0.3">
      <c r="A27" t="s">
        <v>23</v>
      </c>
    </row>
    <row r="28" spans="1:8" x14ac:dyDescent="0.3">
      <c r="A28" t="s">
        <v>29</v>
      </c>
    </row>
    <row r="30" spans="1:8" x14ac:dyDescent="0.3">
      <c r="A30" t="s">
        <v>28</v>
      </c>
    </row>
    <row r="31" spans="1:8" x14ac:dyDescent="0.3">
      <c r="A31" t="s">
        <v>24</v>
      </c>
      <c r="E31" s="20" t="s">
        <v>5</v>
      </c>
      <c r="F31" s="41" t="s">
        <v>27</v>
      </c>
      <c r="G31" s="20" t="s">
        <v>7</v>
      </c>
    </row>
    <row r="32" spans="1:8" x14ac:dyDescent="0.3">
      <c r="A32" t="s">
        <v>25</v>
      </c>
      <c r="E32" s="20" t="b">
        <f>TRUE</f>
        <v>1</v>
      </c>
      <c r="F32" s="41" t="b">
        <f>IF(E32=G32,TRUE,FALSE)</f>
        <v>1</v>
      </c>
      <c r="G32" s="20" t="b">
        <f>TRUE</f>
        <v>1</v>
      </c>
    </row>
    <row r="33" spans="1:7" x14ac:dyDescent="0.3">
      <c r="A33" t="s">
        <v>26</v>
      </c>
      <c r="E33" s="20" t="b">
        <f>TRUE</f>
        <v>1</v>
      </c>
      <c r="F33" s="41" t="b">
        <f t="shared" ref="F33:F35" si="3">IF(E33=G33,TRUE,FALSE)</f>
        <v>0</v>
      </c>
      <c r="G33" s="20" t="b">
        <f>FALSE</f>
        <v>0</v>
      </c>
    </row>
    <row r="34" spans="1:7" x14ac:dyDescent="0.3">
      <c r="E34" s="20" t="b">
        <f>FALSE</f>
        <v>0</v>
      </c>
      <c r="F34" s="41" t="b">
        <f t="shared" si="3"/>
        <v>0</v>
      </c>
      <c r="G34" s="20" t="b">
        <f>TRUE</f>
        <v>1</v>
      </c>
    </row>
    <row r="35" spans="1:7" x14ac:dyDescent="0.3">
      <c r="E35" s="43" t="b">
        <f>FALSE</f>
        <v>0</v>
      </c>
      <c r="F35" s="41" t="b">
        <f t="shared" si="3"/>
        <v>1</v>
      </c>
      <c r="G35" s="20" t="b">
        <f>FALSE</f>
        <v>0</v>
      </c>
    </row>
    <row r="37" spans="1:7" x14ac:dyDescent="0.3">
      <c r="A37" t="s">
        <v>30</v>
      </c>
    </row>
    <row r="38" spans="1:7" x14ac:dyDescent="0.3">
      <c r="A38" t="s">
        <v>33</v>
      </c>
      <c r="E38" s="20" t="s">
        <v>5</v>
      </c>
      <c r="F38" s="41" t="s">
        <v>34</v>
      </c>
      <c r="G38" s="20" t="s">
        <v>7</v>
      </c>
    </row>
    <row r="39" spans="1:7" x14ac:dyDescent="0.3">
      <c r="A39" t="s">
        <v>31</v>
      </c>
      <c r="E39" s="20" t="b">
        <f>TRUE</f>
        <v>1</v>
      </c>
      <c r="F39" s="41" t="b">
        <f>IF(E39,G39,TRUE)</f>
        <v>1</v>
      </c>
      <c r="G39" s="20" t="b">
        <f>TRUE</f>
        <v>1</v>
      </c>
    </row>
    <row r="40" spans="1:7" x14ac:dyDescent="0.3">
      <c r="A40" t="s">
        <v>32</v>
      </c>
      <c r="E40" s="20" t="b">
        <f>TRUE</f>
        <v>1</v>
      </c>
      <c r="F40" s="41" t="b">
        <f t="shared" ref="F40:F42" si="4">IF(E40,G40,TRUE)</f>
        <v>0</v>
      </c>
      <c r="G40" s="20" t="b">
        <f>FALSE</f>
        <v>0</v>
      </c>
    </row>
    <row r="41" spans="1:7" x14ac:dyDescent="0.3">
      <c r="E41" s="20" t="b">
        <f>FALSE</f>
        <v>0</v>
      </c>
      <c r="F41" s="41" t="b">
        <f t="shared" si="4"/>
        <v>1</v>
      </c>
      <c r="G41" s="20" t="b">
        <f>TRUE</f>
        <v>1</v>
      </c>
    </row>
    <row r="42" spans="1:7" x14ac:dyDescent="0.3">
      <c r="E42" s="20" t="b">
        <f>FALSE</f>
        <v>0</v>
      </c>
      <c r="F42" s="41" t="b">
        <f t="shared" si="4"/>
        <v>1</v>
      </c>
      <c r="G42" s="20" t="b">
        <f>FALSE</f>
        <v>0</v>
      </c>
    </row>
    <row r="44" spans="1:7" x14ac:dyDescent="0.3">
      <c r="A44" t="s">
        <v>35</v>
      </c>
    </row>
    <row r="45" spans="1:7" x14ac:dyDescent="0.3">
      <c r="A45" t="s">
        <v>36</v>
      </c>
      <c r="E45" s="20" t="s">
        <v>5</v>
      </c>
      <c r="F45" s="41" t="s">
        <v>27</v>
      </c>
      <c r="G45" s="20" t="s">
        <v>7</v>
      </c>
    </row>
    <row r="46" spans="1:7" x14ac:dyDescent="0.3">
      <c r="A46" t="s">
        <v>37</v>
      </c>
      <c r="E46" s="20" t="b">
        <f>TRUE</f>
        <v>1</v>
      </c>
      <c r="F46" s="41" t="b">
        <f>IF(E46=G46,TRUE,FALSE)</f>
        <v>1</v>
      </c>
      <c r="G46" s="20" t="b">
        <f>TRUE</f>
        <v>1</v>
      </c>
    </row>
    <row r="47" spans="1:7" x14ac:dyDescent="0.3">
      <c r="A47" t="s">
        <v>38</v>
      </c>
      <c r="E47" s="20" t="b">
        <f>TRUE</f>
        <v>1</v>
      </c>
      <c r="F47" s="41" t="b">
        <f t="shared" ref="F47:F49" si="5">IF(E47=G47,TRUE,FALSE)</f>
        <v>0</v>
      </c>
      <c r="G47" s="20" t="b">
        <f>FALSE</f>
        <v>0</v>
      </c>
    </row>
    <row r="48" spans="1:7" x14ac:dyDescent="0.3">
      <c r="E48" s="20" t="b">
        <f>FALSE</f>
        <v>0</v>
      </c>
      <c r="F48" s="41" t="b">
        <f t="shared" si="5"/>
        <v>0</v>
      </c>
      <c r="G48" s="20" t="b">
        <f>TRUE</f>
        <v>1</v>
      </c>
    </row>
    <row r="49" spans="1:7" x14ac:dyDescent="0.3">
      <c r="E49" s="20" t="b">
        <f>FALSE</f>
        <v>0</v>
      </c>
      <c r="F49" s="41" t="b">
        <f t="shared" si="5"/>
        <v>1</v>
      </c>
      <c r="G49" s="20" t="b">
        <f>FALSE</f>
        <v>0</v>
      </c>
    </row>
    <row r="51" spans="1:7" x14ac:dyDescent="0.3">
      <c r="A51" t="s">
        <v>39</v>
      </c>
    </row>
    <row r="52" spans="1:7" x14ac:dyDescent="0.3">
      <c r="A52" t="s">
        <v>40</v>
      </c>
      <c r="E52" s="20" t="s">
        <v>5</v>
      </c>
      <c r="F52" s="41" t="s">
        <v>6</v>
      </c>
      <c r="G52" s="20" t="s">
        <v>7</v>
      </c>
    </row>
    <row r="53" spans="1:7" x14ac:dyDescent="0.3">
      <c r="A53" t="s">
        <v>41</v>
      </c>
      <c r="E53" s="20" t="b">
        <f>TRUE</f>
        <v>1</v>
      </c>
      <c r="F53" s="41" t="b">
        <f>IF(E53=FALSE,G53,TRUE)</f>
        <v>1</v>
      </c>
      <c r="G53" s="20" t="b">
        <f>TRUE</f>
        <v>1</v>
      </c>
    </row>
    <row r="54" spans="1:7" x14ac:dyDescent="0.3">
      <c r="A54" t="s">
        <v>42</v>
      </c>
      <c r="E54" s="20" t="b">
        <f>TRUE</f>
        <v>1</v>
      </c>
      <c r="F54" s="41" t="b">
        <f t="shared" ref="F54:F56" si="6">IF(E54=FALSE,G54,TRUE)</f>
        <v>1</v>
      </c>
      <c r="G54" s="20" t="b">
        <f>FALSE</f>
        <v>0</v>
      </c>
    </row>
    <row r="55" spans="1:7" x14ac:dyDescent="0.3">
      <c r="E55" s="20" t="b">
        <f>FALSE</f>
        <v>0</v>
      </c>
      <c r="F55" s="41" t="b">
        <f t="shared" si="6"/>
        <v>1</v>
      </c>
      <c r="G55" s="20" t="b">
        <f>TRUE</f>
        <v>1</v>
      </c>
    </row>
    <row r="56" spans="1:7" x14ac:dyDescent="0.3">
      <c r="E56" s="20" t="b">
        <f>FALSE</f>
        <v>0</v>
      </c>
      <c r="F56" s="41" t="b">
        <f t="shared" si="6"/>
        <v>0</v>
      </c>
      <c r="G56" s="20" t="b">
        <f>FALSE</f>
        <v>0</v>
      </c>
    </row>
    <row r="58" spans="1:7" x14ac:dyDescent="0.3">
      <c r="A58" t="s">
        <v>43</v>
      </c>
    </row>
    <row r="59" spans="1:7" x14ac:dyDescent="0.3">
      <c r="A59" t="s">
        <v>44</v>
      </c>
      <c r="D59" s="20" t="s">
        <v>5</v>
      </c>
      <c r="E59" s="41" t="s">
        <v>10</v>
      </c>
      <c r="F59" s="20" t="s">
        <v>7</v>
      </c>
    </row>
    <row r="60" spans="1:7" x14ac:dyDescent="0.3">
      <c r="A60" t="s">
        <v>45</v>
      </c>
      <c r="D60" s="20" t="b">
        <f>TRUE</f>
        <v>1</v>
      </c>
      <c r="E60" s="41" t="b">
        <f>IF(D60,F60,FALSE)</f>
        <v>1</v>
      </c>
      <c r="F60" s="20" t="b">
        <f>TRUE</f>
        <v>1</v>
      </c>
    </row>
    <row r="61" spans="1:7" x14ac:dyDescent="0.3">
      <c r="A61" t="s">
        <v>46</v>
      </c>
      <c r="D61" s="20" t="b">
        <f>TRUE</f>
        <v>1</v>
      </c>
      <c r="E61" s="41" t="b">
        <f t="shared" ref="E61:E63" si="7">IF(D61,F61,FALSE)</f>
        <v>0</v>
      </c>
      <c r="F61" s="20" t="b">
        <f>FALSE</f>
        <v>0</v>
      </c>
    </row>
    <row r="62" spans="1:7" x14ac:dyDescent="0.3">
      <c r="D62" s="20" t="b">
        <f>FALSE</f>
        <v>0</v>
      </c>
      <c r="E62" s="41" t="b">
        <f t="shared" si="7"/>
        <v>0</v>
      </c>
      <c r="F62" s="20" t="b">
        <f>TRUE</f>
        <v>1</v>
      </c>
    </row>
    <row r="63" spans="1:7" x14ac:dyDescent="0.3">
      <c r="D63" s="20" t="b">
        <f>FALSE</f>
        <v>0</v>
      </c>
      <c r="E63" s="41" t="b">
        <f t="shared" si="7"/>
        <v>0</v>
      </c>
      <c r="F63" s="20" t="b">
        <f>FALSE</f>
        <v>0</v>
      </c>
    </row>
    <row r="65" spans="1:9" x14ac:dyDescent="0.3">
      <c r="A65" t="s">
        <v>47</v>
      </c>
    </row>
    <row r="66" spans="1:9" x14ac:dyDescent="0.3">
      <c r="A66" t="s">
        <v>48</v>
      </c>
      <c r="D66" s="20" t="s">
        <v>5</v>
      </c>
      <c r="E66" s="41" t="s">
        <v>6</v>
      </c>
      <c r="F66" s="20" t="s">
        <v>7</v>
      </c>
    </row>
    <row r="67" spans="1:9" x14ac:dyDescent="0.3">
      <c r="A67" t="s">
        <v>49</v>
      </c>
      <c r="D67" s="20" t="b">
        <f>TRUE</f>
        <v>1</v>
      </c>
      <c r="E67" s="41" t="b">
        <f>IF(D67=FALSE,F67,TRUE)</f>
        <v>1</v>
      </c>
      <c r="F67" s="20" t="b">
        <f>TRUE</f>
        <v>1</v>
      </c>
    </row>
    <row r="68" spans="1:9" x14ac:dyDescent="0.3">
      <c r="A68" t="s">
        <v>50</v>
      </c>
      <c r="D68" s="20" t="b">
        <f>TRUE</f>
        <v>1</v>
      </c>
      <c r="E68" s="41" t="b">
        <f t="shared" ref="E68:E70" si="8">IF(D68=FALSE,F68,TRUE)</f>
        <v>1</v>
      </c>
      <c r="F68" s="43" t="b">
        <f>FALSE</f>
        <v>0</v>
      </c>
    </row>
    <row r="69" spans="1:9" x14ac:dyDescent="0.3">
      <c r="D69" s="20" t="b">
        <f>FALSE</f>
        <v>0</v>
      </c>
      <c r="E69" s="41" t="b">
        <f t="shared" si="8"/>
        <v>1</v>
      </c>
      <c r="F69" s="20" t="b">
        <f>TRUE</f>
        <v>1</v>
      </c>
    </row>
    <row r="70" spans="1:9" x14ac:dyDescent="0.3">
      <c r="D70" s="20" t="b">
        <f>FALSE</f>
        <v>0</v>
      </c>
      <c r="E70" s="41" t="b">
        <f t="shared" si="8"/>
        <v>0</v>
      </c>
      <c r="F70" s="20" t="b">
        <f>FALSE</f>
        <v>0</v>
      </c>
    </row>
    <row r="75" spans="1:9" x14ac:dyDescent="0.3">
      <c r="A75" t="s">
        <v>51</v>
      </c>
    </row>
    <row r="76" spans="1:9" x14ac:dyDescent="0.3">
      <c r="A76" t="s">
        <v>55</v>
      </c>
      <c r="E76" s="20" t="s">
        <v>56</v>
      </c>
      <c r="F76" s="22" t="s">
        <v>10</v>
      </c>
      <c r="G76" s="20" t="s">
        <v>7</v>
      </c>
      <c r="H76" s="22" t="s">
        <v>6</v>
      </c>
      <c r="I76" s="20" t="s">
        <v>57</v>
      </c>
    </row>
    <row r="77" spans="1:9" x14ac:dyDescent="0.3">
      <c r="A77" t="s">
        <v>52</v>
      </c>
      <c r="E77" s="20" t="b">
        <f>TRUE</f>
        <v>1</v>
      </c>
      <c r="F77" s="22" t="b">
        <f>IF(E77,G77,FALSE)</f>
        <v>1</v>
      </c>
      <c r="G77" s="20" t="b">
        <f>TRUE</f>
        <v>1</v>
      </c>
      <c r="H77" s="22" t="b">
        <f>IF(F77=FALSE,I77,TRUE)</f>
        <v>1</v>
      </c>
      <c r="I77" s="20" t="b">
        <f>TRUE</f>
        <v>1</v>
      </c>
    </row>
    <row r="78" spans="1:9" x14ac:dyDescent="0.3">
      <c r="A78" t="s">
        <v>53</v>
      </c>
      <c r="E78" s="20" t="b">
        <f>TRUE</f>
        <v>1</v>
      </c>
      <c r="F78" s="22" t="b">
        <f t="shared" ref="F78:F80" si="9">IF(E78,G78,FALSE)</f>
        <v>1</v>
      </c>
      <c r="G78" s="20" t="b">
        <f>TRUE</f>
        <v>1</v>
      </c>
      <c r="H78" s="22" t="b">
        <f t="shared" ref="H78:H84" si="10">IF(F78=FALSE,I78,TRUE)</f>
        <v>1</v>
      </c>
      <c r="I78" s="20" t="b">
        <f>FALSE</f>
        <v>0</v>
      </c>
    </row>
    <row r="79" spans="1:9" x14ac:dyDescent="0.3">
      <c r="A79" t="s">
        <v>54</v>
      </c>
      <c r="E79" s="20" t="b">
        <f>TRUE</f>
        <v>1</v>
      </c>
      <c r="F79" s="22" t="b">
        <f t="shared" si="9"/>
        <v>0</v>
      </c>
      <c r="G79" s="20" t="b">
        <f>FALSE</f>
        <v>0</v>
      </c>
      <c r="H79" s="22" t="b">
        <f t="shared" si="10"/>
        <v>1</v>
      </c>
      <c r="I79" s="20" t="b">
        <f>TRUE</f>
        <v>1</v>
      </c>
    </row>
    <row r="80" spans="1:9" x14ac:dyDescent="0.3">
      <c r="E80" s="20" t="b">
        <f>TRUE</f>
        <v>1</v>
      </c>
      <c r="F80" s="22" t="b">
        <f t="shared" si="9"/>
        <v>0</v>
      </c>
      <c r="G80" s="20" t="b">
        <f>FALSE</f>
        <v>0</v>
      </c>
      <c r="H80" s="22" t="b">
        <f t="shared" si="10"/>
        <v>0</v>
      </c>
      <c r="I80" s="20" t="b">
        <f>FALSE</f>
        <v>0</v>
      </c>
    </row>
    <row r="81" spans="1:15" x14ac:dyDescent="0.3">
      <c r="E81" s="20" t="b">
        <f>FALSE</f>
        <v>0</v>
      </c>
      <c r="F81" s="22" t="b">
        <f t="shared" ref="F81:F84" si="11">IF(E81,G81,FALSE)</f>
        <v>0</v>
      </c>
      <c r="G81" s="20" t="b">
        <f>TRUE</f>
        <v>1</v>
      </c>
      <c r="H81" s="22" t="b">
        <f t="shared" si="10"/>
        <v>1</v>
      </c>
      <c r="I81" s="20" t="b">
        <f>TRUE</f>
        <v>1</v>
      </c>
    </row>
    <row r="82" spans="1:15" x14ac:dyDescent="0.3">
      <c r="E82" s="20" t="b">
        <f>FALSE</f>
        <v>0</v>
      </c>
      <c r="F82" s="22" t="b">
        <f t="shared" si="11"/>
        <v>0</v>
      </c>
      <c r="G82" s="20" t="b">
        <f>TRUE</f>
        <v>1</v>
      </c>
      <c r="H82" s="22" t="b">
        <f t="shared" si="10"/>
        <v>0</v>
      </c>
      <c r="I82" s="20" t="b">
        <f>FALSE</f>
        <v>0</v>
      </c>
    </row>
    <row r="83" spans="1:15" x14ac:dyDescent="0.3">
      <c r="E83" s="20" t="b">
        <f>FALSE</f>
        <v>0</v>
      </c>
      <c r="F83" s="22" t="b">
        <f t="shared" si="11"/>
        <v>0</v>
      </c>
      <c r="G83" s="20" t="b">
        <f>FALSE</f>
        <v>0</v>
      </c>
      <c r="H83" s="22" t="b">
        <f t="shared" si="10"/>
        <v>1</v>
      </c>
      <c r="I83" s="20" t="b">
        <f>TRUE</f>
        <v>1</v>
      </c>
    </row>
    <row r="84" spans="1:15" x14ac:dyDescent="0.3">
      <c r="E84" s="20" t="b">
        <f>FALSE</f>
        <v>0</v>
      </c>
      <c r="F84" s="22" t="b">
        <f t="shared" si="11"/>
        <v>0</v>
      </c>
      <c r="G84" s="20" t="b">
        <f>FALSE</f>
        <v>0</v>
      </c>
      <c r="H84" s="22" t="b">
        <f t="shared" si="10"/>
        <v>0</v>
      </c>
      <c r="I84" s="20" t="b">
        <f>FALSE</f>
        <v>0</v>
      </c>
    </row>
    <row r="87" spans="1:15" x14ac:dyDescent="0.3">
      <c r="A87" t="s">
        <v>58</v>
      </c>
    </row>
    <row r="88" spans="1:15" x14ac:dyDescent="0.3">
      <c r="A88" t="s">
        <v>59</v>
      </c>
      <c r="I88" s="19" t="s">
        <v>5</v>
      </c>
      <c r="J88" s="19" t="s">
        <v>6</v>
      </c>
      <c r="K88" s="19" t="s">
        <v>64</v>
      </c>
      <c r="L88" s="19" t="s">
        <v>34</v>
      </c>
      <c r="M88" s="19" t="s">
        <v>57</v>
      </c>
      <c r="N88" s="19" t="s">
        <v>10</v>
      </c>
      <c r="O88" s="19" t="s">
        <v>61</v>
      </c>
    </row>
    <row r="89" spans="1:15" x14ac:dyDescent="0.3">
      <c r="A89" t="s">
        <v>60</v>
      </c>
      <c r="I89" s="20" t="b">
        <f>TRUE</f>
        <v>1</v>
      </c>
      <c r="J89" s="21" t="b">
        <f>IF(I89=FALSE,K89,TRUE)</f>
        <v>1</v>
      </c>
      <c r="K89" s="20" t="b">
        <f>TRUE</f>
        <v>1</v>
      </c>
      <c r="L89" s="22" t="b">
        <f>IF(J89,N89,TRUE)</f>
        <v>1</v>
      </c>
      <c r="M89" s="20" t="b">
        <f>TRUE</f>
        <v>1</v>
      </c>
      <c r="N89" s="22" t="b">
        <f>IF(M89,O89,FALSE)</f>
        <v>1</v>
      </c>
      <c r="O89" s="20" t="b">
        <f>TRUE</f>
        <v>1</v>
      </c>
    </row>
    <row r="90" spans="1:15" x14ac:dyDescent="0.3">
      <c r="A90" t="s">
        <v>62</v>
      </c>
      <c r="I90" s="20" t="b">
        <f>TRUE</f>
        <v>1</v>
      </c>
      <c r="J90" s="21" t="b">
        <f t="shared" ref="J90:J104" si="12">IF(I90=FALSE,K90,TRUE)</f>
        <v>1</v>
      </c>
      <c r="K90" s="20" t="b">
        <f>TRUE</f>
        <v>1</v>
      </c>
      <c r="L90" s="22" t="b">
        <f t="shared" ref="L90:L104" si="13">IF(J90,N90,TRUE)</f>
        <v>0</v>
      </c>
      <c r="M90" s="20" t="b">
        <f>TRUE</f>
        <v>1</v>
      </c>
      <c r="N90" s="22" t="b">
        <f t="shared" ref="N90:N104" si="14">IF(M90,O90,FALSE)</f>
        <v>0</v>
      </c>
      <c r="O90" s="20" t="b">
        <f>FALSE</f>
        <v>0</v>
      </c>
    </row>
    <row r="91" spans="1:15" x14ac:dyDescent="0.3">
      <c r="A91" t="s">
        <v>63</v>
      </c>
      <c r="I91" s="20" t="b">
        <f>TRUE</f>
        <v>1</v>
      </c>
      <c r="J91" s="21" t="b">
        <f t="shared" si="12"/>
        <v>1</v>
      </c>
      <c r="K91" s="20" t="b">
        <f>TRUE</f>
        <v>1</v>
      </c>
      <c r="L91" s="22" t="b">
        <f t="shared" si="13"/>
        <v>0</v>
      </c>
      <c r="M91" s="20" t="b">
        <f>FALSE</f>
        <v>0</v>
      </c>
      <c r="N91" s="22" t="b">
        <f t="shared" si="14"/>
        <v>0</v>
      </c>
      <c r="O91" s="20" t="b">
        <f>TRUE</f>
        <v>1</v>
      </c>
    </row>
    <row r="92" spans="1:15" x14ac:dyDescent="0.3">
      <c r="A92" t="s">
        <v>65</v>
      </c>
      <c r="I92" s="20" t="b">
        <f>TRUE</f>
        <v>1</v>
      </c>
      <c r="J92" s="21" t="b">
        <f t="shared" si="12"/>
        <v>1</v>
      </c>
      <c r="K92" s="20" t="b">
        <f>TRUE</f>
        <v>1</v>
      </c>
      <c r="L92" s="22" t="b">
        <f t="shared" si="13"/>
        <v>0</v>
      </c>
      <c r="M92" s="20" t="b">
        <f>FALSE</f>
        <v>0</v>
      </c>
      <c r="N92" s="22" t="b">
        <f t="shared" si="14"/>
        <v>0</v>
      </c>
      <c r="O92" s="20" t="b">
        <f>FALSE</f>
        <v>0</v>
      </c>
    </row>
    <row r="93" spans="1:15" x14ac:dyDescent="0.3">
      <c r="I93" s="20" t="b">
        <f>TRUE</f>
        <v>1</v>
      </c>
      <c r="J93" s="21" t="b">
        <f t="shared" si="12"/>
        <v>1</v>
      </c>
      <c r="K93" s="20" t="b">
        <f>FALSE</f>
        <v>0</v>
      </c>
      <c r="L93" s="22" t="b">
        <f t="shared" si="13"/>
        <v>1</v>
      </c>
      <c r="M93" s="20" t="b">
        <f>TRUE</f>
        <v>1</v>
      </c>
      <c r="N93" s="22" t="b">
        <f t="shared" si="14"/>
        <v>1</v>
      </c>
      <c r="O93" s="20" t="b">
        <f>TRUE</f>
        <v>1</v>
      </c>
    </row>
    <row r="94" spans="1:15" x14ac:dyDescent="0.3">
      <c r="I94" s="20" t="b">
        <f>TRUE</f>
        <v>1</v>
      </c>
      <c r="J94" s="21" t="b">
        <f t="shared" si="12"/>
        <v>1</v>
      </c>
      <c r="K94" s="20" t="b">
        <f>FALSE</f>
        <v>0</v>
      </c>
      <c r="L94" s="22" t="b">
        <f t="shared" si="13"/>
        <v>0</v>
      </c>
      <c r="M94" s="20" t="b">
        <f>TRUE</f>
        <v>1</v>
      </c>
      <c r="N94" s="22" t="b">
        <f t="shared" si="14"/>
        <v>0</v>
      </c>
      <c r="O94" s="20" t="b">
        <f>FALSE</f>
        <v>0</v>
      </c>
    </row>
    <row r="95" spans="1:15" x14ac:dyDescent="0.3">
      <c r="I95" s="20" t="b">
        <f>TRUE</f>
        <v>1</v>
      </c>
      <c r="J95" s="21" t="b">
        <f t="shared" si="12"/>
        <v>1</v>
      </c>
      <c r="K95" s="20" t="b">
        <f>FALSE</f>
        <v>0</v>
      </c>
      <c r="L95" s="22" t="b">
        <f t="shared" si="13"/>
        <v>0</v>
      </c>
      <c r="M95" s="20" t="b">
        <f>FALSE</f>
        <v>0</v>
      </c>
      <c r="N95" s="22" t="b">
        <f t="shared" si="14"/>
        <v>0</v>
      </c>
      <c r="O95" s="20" t="b">
        <f>TRUE</f>
        <v>1</v>
      </c>
    </row>
    <row r="96" spans="1:15" x14ac:dyDescent="0.3">
      <c r="I96" s="20" t="b">
        <f>TRUE</f>
        <v>1</v>
      </c>
      <c r="J96" s="21" t="b">
        <f t="shared" si="12"/>
        <v>1</v>
      </c>
      <c r="K96" s="20" t="b">
        <f>FALSE</f>
        <v>0</v>
      </c>
      <c r="L96" s="22" t="b">
        <f t="shared" si="13"/>
        <v>0</v>
      </c>
      <c r="M96" s="20" t="b">
        <f>FALSE</f>
        <v>0</v>
      </c>
      <c r="N96" s="22" t="b">
        <f t="shared" si="14"/>
        <v>0</v>
      </c>
      <c r="O96" s="20" t="b">
        <f>FALSE</f>
        <v>0</v>
      </c>
    </row>
    <row r="97" spans="1:15" x14ac:dyDescent="0.3">
      <c r="I97" s="20" t="b">
        <f>FALSE</f>
        <v>0</v>
      </c>
      <c r="J97" s="21" t="b">
        <f t="shared" si="12"/>
        <v>1</v>
      </c>
      <c r="K97" s="20" t="b">
        <f>TRUE</f>
        <v>1</v>
      </c>
      <c r="L97" s="22" t="b">
        <f t="shared" si="13"/>
        <v>1</v>
      </c>
      <c r="M97" s="20" t="b">
        <f>TRUE</f>
        <v>1</v>
      </c>
      <c r="N97" s="22" t="b">
        <f t="shared" si="14"/>
        <v>1</v>
      </c>
      <c r="O97" s="20" t="b">
        <f>TRUE</f>
        <v>1</v>
      </c>
    </row>
    <row r="98" spans="1:15" x14ac:dyDescent="0.3">
      <c r="I98" s="20" t="b">
        <f>FALSE</f>
        <v>0</v>
      </c>
      <c r="J98" s="21" t="b">
        <f t="shared" si="12"/>
        <v>1</v>
      </c>
      <c r="K98" s="20" t="b">
        <f>TRUE</f>
        <v>1</v>
      </c>
      <c r="L98" s="22" t="b">
        <f t="shared" si="13"/>
        <v>0</v>
      </c>
      <c r="M98" s="20" t="b">
        <f>TRUE</f>
        <v>1</v>
      </c>
      <c r="N98" s="22" t="b">
        <f t="shared" si="14"/>
        <v>0</v>
      </c>
      <c r="O98" s="20" t="b">
        <f>FALSE</f>
        <v>0</v>
      </c>
    </row>
    <row r="99" spans="1:15" x14ac:dyDescent="0.3">
      <c r="I99" s="20" t="b">
        <f>FALSE</f>
        <v>0</v>
      </c>
      <c r="J99" s="21" t="b">
        <f t="shared" si="12"/>
        <v>1</v>
      </c>
      <c r="K99" s="20" t="b">
        <f>TRUE</f>
        <v>1</v>
      </c>
      <c r="L99" s="22" t="b">
        <f t="shared" si="13"/>
        <v>0</v>
      </c>
      <c r="M99" s="20" t="b">
        <f>FALSE</f>
        <v>0</v>
      </c>
      <c r="N99" s="22" t="b">
        <f t="shared" si="14"/>
        <v>0</v>
      </c>
      <c r="O99" s="20" t="b">
        <f>TRUE</f>
        <v>1</v>
      </c>
    </row>
    <row r="100" spans="1:15" x14ac:dyDescent="0.3">
      <c r="I100" s="20" t="b">
        <f>FALSE</f>
        <v>0</v>
      </c>
      <c r="J100" s="21" t="b">
        <f t="shared" si="12"/>
        <v>1</v>
      </c>
      <c r="K100" s="20" t="b">
        <f>TRUE</f>
        <v>1</v>
      </c>
      <c r="L100" s="22" t="b">
        <f t="shared" si="13"/>
        <v>0</v>
      </c>
      <c r="M100" s="20" t="b">
        <f>FALSE</f>
        <v>0</v>
      </c>
      <c r="N100" s="22" t="b">
        <f t="shared" si="14"/>
        <v>0</v>
      </c>
      <c r="O100" s="20" t="b">
        <f>FALSE</f>
        <v>0</v>
      </c>
    </row>
    <row r="101" spans="1:15" x14ac:dyDescent="0.3">
      <c r="I101" s="20" t="b">
        <f>FALSE</f>
        <v>0</v>
      </c>
      <c r="J101" s="21" t="b">
        <f t="shared" si="12"/>
        <v>0</v>
      </c>
      <c r="K101" s="20" t="b">
        <f>FALSE</f>
        <v>0</v>
      </c>
      <c r="L101" s="22" t="b">
        <f t="shared" si="13"/>
        <v>1</v>
      </c>
      <c r="M101" s="20" t="b">
        <f>TRUE</f>
        <v>1</v>
      </c>
      <c r="N101" s="22" t="b">
        <f t="shared" si="14"/>
        <v>1</v>
      </c>
      <c r="O101" s="20" t="b">
        <f>TRUE</f>
        <v>1</v>
      </c>
    </row>
    <row r="102" spans="1:15" x14ac:dyDescent="0.3">
      <c r="I102" s="20" t="b">
        <f>FALSE</f>
        <v>0</v>
      </c>
      <c r="J102" s="21" t="b">
        <f t="shared" si="12"/>
        <v>0</v>
      </c>
      <c r="K102" s="20" t="b">
        <f>FALSE</f>
        <v>0</v>
      </c>
      <c r="L102" s="22" t="b">
        <f t="shared" si="13"/>
        <v>1</v>
      </c>
      <c r="M102" s="20" t="b">
        <f>TRUE</f>
        <v>1</v>
      </c>
      <c r="N102" s="22" t="b">
        <f t="shared" si="14"/>
        <v>0</v>
      </c>
      <c r="O102" s="20" t="b">
        <f>FALSE</f>
        <v>0</v>
      </c>
    </row>
    <row r="103" spans="1:15" x14ac:dyDescent="0.3">
      <c r="I103" s="20" t="b">
        <f>FALSE</f>
        <v>0</v>
      </c>
      <c r="J103" s="21" t="b">
        <f t="shared" si="12"/>
        <v>0</v>
      </c>
      <c r="K103" s="20" t="b">
        <f>FALSE</f>
        <v>0</v>
      </c>
      <c r="L103" s="22" t="b">
        <f t="shared" si="13"/>
        <v>1</v>
      </c>
      <c r="M103" s="20" t="b">
        <f>FALSE</f>
        <v>0</v>
      </c>
      <c r="N103" s="22" t="b">
        <f t="shared" si="14"/>
        <v>0</v>
      </c>
      <c r="O103" s="20" t="b">
        <f>TRUE</f>
        <v>1</v>
      </c>
    </row>
    <row r="104" spans="1:15" x14ac:dyDescent="0.3">
      <c r="I104" s="20" t="b">
        <f>FALSE</f>
        <v>0</v>
      </c>
      <c r="J104" s="21" t="b">
        <f t="shared" si="12"/>
        <v>0</v>
      </c>
      <c r="K104" s="20" t="b">
        <f>FALSE</f>
        <v>0</v>
      </c>
      <c r="L104" s="22" t="b">
        <f t="shared" si="13"/>
        <v>1</v>
      </c>
      <c r="M104" s="20" t="b">
        <f>FALSE</f>
        <v>0</v>
      </c>
      <c r="N104" s="22" t="b">
        <f t="shared" si="14"/>
        <v>0</v>
      </c>
      <c r="O104" s="20" t="b">
        <f>FALSE</f>
        <v>0</v>
      </c>
    </row>
    <row r="107" spans="1:15" x14ac:dyDescent="0.3">
      <c r="L107" s="5"/>
      <c r="M107" s="5"/>
    </row>
    <row r="108" spans="1:15" x14ac:dyDescent="0.3">
      <c r="A108" t="s">
        <v>66</v>
      </c>
      <c r="L108" s="12"/>
      <c r="M108" s="11"/>
    </row>
    <row r="109" spans="1:15" x14ac:dyDescent="0.3">
      <c r="A109" t="s">
        <v>67</v>
      </c>
      <c r="F109" s="2"/>
      <c r="G109" s="3"/>
      <c r="L109" s="13"/>
      <c r="M109" s="8"/>
      <c r="N109" s="6"/>
    </row>
    <row r="110" spans="1:15" x14ac:dyDescent="0.3">
      <c r="A110" t="s">
        <v>68</v>
      </c>
      <c r="F110" s="4"/>
      <c r="G110" s="20" t="s">
        <v>56</v>
      </c>
      <c r="H110" s="22" t="s">
        <v>79</v>
      </c>
      <c r="I110" s="20" t="s">
        <v>7</v>
      </c>
      <c r="J110" s="22" t="s">
        <v>6</v>
      </c>
      <c r="K110" s="20" t="s">
        <v>57</v>
      </c>
      <c r="L110" s="23"/>
      <c r="M110" s="10"/>
      <c r="N110" s="6"/>
    </row>
    <row r="111" spans="1:15" x14ac:dyDescent="0.3">
      <c r="A111" t="s">
        <v>69</v>
      </c>
      <c r="F111" s="4"/>
      <c r="G111" s="20" t="b">
        <f>TRUE</f>
        <v>1</v>
      </c>
      <c r="H111" s="22" t="b">
        <f>IF(G111,I111,FALSE)</f>
        <v>1</v>
      </c>
      <c r="I111" s="20" t="b">
        <f>TRUE</f>
        <v>1</v>
      </c>
      <c r="J111" s="22" t="b">
        <f>IF(H111=FALSE,K111,TRUE)</f>
        <v>1</v>
      </c>
      <c r="K111" s="20" t="b">
        <f>TRUE</f>
        <v>1</v>
      </c>
      <c r="L111" s="23"/>
      <c r="M111" s="10"/>
      <c r="N111" s="6"/>
    </row>
    <row r="112" spans="1:15" x14ac:dyDescent="0.3">
      <c r="A112" t="s">
        <v>70</v>
      </c>
      <c r="F112" s="4"/>
      <c r="G112" s="20" t="b">
        <f>TRUE</f>
        <v>1</v>
      </c>
      <c r="H112" s="22" t="b">
        <f t="shared" ref="H112:H118" si="15">IF(G112,I112,FALSE)</f>
        <v>1</v>
      </c>
      <c r="I112" s="20" t="b">
        <f>TRUE</f>
        <v>1</v>
      </c>
      <c r="J112" s="22" t="b">
        <f t="shared" ref="J112:J118" si="16">IF(H112=FALSE,K112,TRUE)</f>
        <v>1</v>
      </c>
      <c r="K112" s="20" t="b">
        <f>FALSE</f>
        <v>0</v>
      </c>
      <c r="L112" s="23"/>
      <c r="M112" s="10"/>
      <c r="N112" s="6"/>
    </row>
    <row r="113" spans="1:14" x14ac:dyDescent="0.3">
      <c r="F113" s="4"/>
      <c r="G113" s="20" t="b">
        <f>TRUE</f>
        <v>1</v>
      </c>
      <c r="H113" s="22" t="b">
        <f t="shared" si="15"/>
        <v>0</v>
      </c>
      <c r="I113" s="20" t="b">
        <f>FALSE</f>
        <v>0</v>
      </c>
      <c r="J113" s="22" t="b">
        <f t="shared" si="16"/>
        <v>1</v>
      </c>
      <c r="K113" s="20" t="b">
        <f>TRUE</f>
        <v>1</v>
      </c>
      <c r="L113" s="23"/>
      <c r="M113" s="10"/>
      <c r="N113" s="6"/>
    </row>
    <row r="114" spans="1:14" x14ac:dyDescent="0.3">
      <c r="F114" s="4"/>
      <c r="G114" s="20" t="b">
        <f>TRUE</f>
        <v>1</v>
      </c>
      <c r="H114" s="22" t="b">
        <f t="shared" si="15"/>
        <v>0</v>
      </c>
      <c r="I114" s="20" t="b">
        <f>FALSE</f>
        <v>0</v>
      </c>
      <c r="J114" s="22" t="b">
        <f t="shared" si="16"/>
        <v>0</v>
      </c>
      <c r="K114" s="20" t="b">
        <f>FALSE</f>
        <v>0</v>
      </c>
      <c r="L114" s="23"/>
      <c r="M114" s="10"/>
      <c r="N114" s="6"/>
    </row>
    <row r="115" spans="1:14" x14ac:dyDescent="0.3">
      <c r="F115" s="4"/>
      <c r="G115" s="20" t="b">
        <f>FALSE</f>
        <v>0</v>
      </c>
      <c r="H115" s="22" t="b">
        <f t="shared" si="15"/>
        <v>0</v>
      </c>
      <c r="I115" s="20" t="b">
        <f>TRUE</f>
        <v>1</v>
      </c>
      <c r="J115" s="22" t="b">
        <f t="shared" si="16"/>
        <v>1</v>
      </c>
      <c r="K115" s="20" t="b">
        <f>TRUE</f>
        <v>1</v>
      </c>
      <c r="L115" s="23"/>
      <c r="M115" s="10"/>
      <c r="N115" s="6"/>
    </row>
    <row r="116" spans="1:14" x14ac:dyDescent="0.3">
      <c r="F116" s="4"/>
      <c r="G116" s="20" t="b">
        <f>FALSE</f>
        <v>0</v>
      </c>
      <c r="H116" s="22" t="b">
        <f t="shared" si="15"/>
        <v>0</v>
      </c>
      <c r="I116" s="20" t="b">
        <f>TRUE</f>
        <v>1</v>
      </c>
      <c r="J116" s="22" t="b">
        <f t="shared" si="16"/>
        <v>0</v>
      </c>
      <c r="K116" s="20" t="b">
        <f>FALSE</f>
        <v>0</v>
      </c>
      <c r="L116" s="23"/>
      <c r="M116" s="10"/>
      <c r="N116" s="6"/>
    </row>
    <row r="117" spans="1:14" x14ac:dyDescent="0.3">
      <c r="E117" s="16"/>
      <c r="F117" s="18"/>
      <c r="G117" s="20" t="b">
        <f>FALSE</f>
        <v>0</v>
      </c>
      <c r="H117" s="22" t="b">
        <f t="shared" si="15"/>
        <v>0</v>
      </c>
      <c r="I117" s="20" t="b">
        <f>FALSE</f>
        <v>0</v>
      </c>
      <c r="J117" s="22" t="b">
        <f t="shared" si="16"/>
        <v>1</v>
      </c>
      <c r="K117" s="20" t="b">
        <f>TRUE</f>
        <v>1</v>
      </c>
      <c r="L117" s="23"/>
      <c r="M117" s="10"/>
      <c r="N117" s="6"/>
    </row>
    <row r="118" spans="1:14" x14ac:dyDescent="0.3">
      <c r="E118" s="16"/>
      <c r="F118" s="18"/>
      <c r="G118" s="20" t="b">
        <f>FALSE</f>
        <v>0</v>
      </c>
      <c r="H118" s="22" t="b">
        <f t="shared" si="15"/>
        <v>0</v>
      </c>
      <c r="I118" s="20" t="b">
        <f>FALSE</f>
        <v>0</v>
      </c>
      <c r="J118" s="22" t="b">
        <f t="shared" si="16"/>
        <v>0</v>
      </c>
      <c r="K118" s="20" t="b">
        <f>FALSE</f>
        <v>0</v>
      </c>
      <c r="L118" s="24"/>
      <c r="M118" s="10"/>
      <c r="N118" s="6"/>
    </row>
    <row r="119" spans="1:14" x14ac:dyDescent="0.3">
      <c r="E119" s="16"/>
      <c r="F119" s="17"/>
      <c r="G119" s="25"/>
      <c r="H119" s="26"/>
      <c r="I119" s="26"/>
      <c r="J119" s="26"/>
      <c r="K119" s="26"/>
      <c r="L119" s="9"/>
      <c r="M119" s="10"/>
      <c r="N119" s="8"/>
    </row>
    <row r="120" spans="1:14" x14ac:dyDescent="0.3">
      <c r="E120" s="18"/>
      <c r="F120" s="17"/>
      <c r="G120" s="14"/>
      <c r="H120" s="10"/>
      <c r="I120" s="10"/>
      <c r="J120" s="10"/>
      <c r="K120" s="10"/>
      <c r="L120" s="9"/>
      <c r="M120" s="10"/>
      <c r="N120" s="8"/>
    </row>
    <row r="121" spans="1:14" x14ac:dyDescent="0.3">
      <c r="A121" t="s">
        <v>71</v>
      </c>
      <c r="C121" t="s">
        <v>5</v>
      </c>
      <c r="D121" t="s">
        <v>73</v>
      </c>
      <c r="E121" s="18"/>
      <c r="F121" s="17"/>
      <c r="G121" s="14"/>
      <c r="H121" s="10"/>
      <c r="I121" s="10"/>
      <c r="J121" s="10"/>
      <c r="K121" s="10"/>
      <c r="L121" s="9"/>
      <c r="M121" s="10"/>
      <c r="N121" s="8"/>
    </row>
    <row r="122" spans="1:14" x14ac:dyDescent="0.3">
      <c r="A122" t="s">
        <v>72</v>
      </c>
      <c r="C122" t="b">
        <f>TRUE</f>
        <v>1</v>
      </c>
      <c r="D122">
        <f ca="1">NOT(D122)</f>
        <v>0</v>
      </c>
      <c r="E122" s="18"/>
      <c r="F122" s="17"/>
      <c r="G122" s="14"/>
      <c r="H122" s="10"/>
      <c r="I122" s="10"/>
      <c r="J122" s="10"/>
      <c r="K122" s="10"/>
      <c r="L122" s="9"/>
      <c r="M122" s="10"/>
      <c r="N122" s="8"/>
    </row>
    <row r="123" spans="1:14" x14ac:dyDescent="0.3">
      <c r="E123" s="18"/>
      <c r="F123" s="17"/>
      <c r="G123" s="14"/>
      <c r="H123" s="10"/>
      <c r="I123" s="10"/>
      <c r="J123" s="10"/>
      <c r="K123" s="10"/>
      <c r="L123" s="9"/>
      <c r="M123" s="10"/>
      <c r="N123" s="8"/>
    </row>
    <row r="124" spans="1:14" x14ac:dyDescent="0.3">
      <c r="A124" t="s">
        <v>74</v>
      </c>
      <c r="E124" s="18"/>
      <c r="F124" s="31"/>
      <c r="G124" s="32"/>
      <c r="H124" s="15"/>
      <c r="I124" s="15"/>
      <c r="J124" s="15"/>
      <c r="K124" s="15"/>
      <c r="L124" s="9"/>
      <c r="M124" s="10"/>
      <c r="N124" s="8"/>
    </row>
    <row r="125" spans="1:14" x14ac:dyDescent="0.3">
      <c r="A125" t="s">
        <v>75</v>
      </c>
      <c r="E125" s="18"/>
      <c r="F125" s="20" t="s">
        <v>56</v>
      </c>
      <c r="G125" s="22" t="s">
        <v>19</v>
      </c>
      <c r="H125" s="20" t="s">
        <v>7</v>
      </c>
      <c r="I125" s="22" t="s">
        <v>6</v>
      </c>
      <c r="J125" s="20" t="s">
        <v>57</v>
      </c>
      <c r="K125" s="27"/>
      <c r="L125" s="14"/>
      <c r="M125" s="10"/>
      <c r="N125" s="8"/>
    </row>
    <row r="126" spans="1:14" x14ac:dyDescent="0.3">
      <c r="A126" t="s">
        <v>76</v>
      </c>
      <c r="E126" s="18"/>
      <c r="F126" s="20" t="b">
        <f>TRUE</f>
        <v>1</v>
      </c>
      <c r="G126" s="22" t="b">
        <f>NOT(F126)</f>
        <v>0</v>
      </c>
      <c r="H126" s="20" t="b">
        <f>TRUE</f>
        <v>1</v>
      </c>
      <c r="I126" s="22" t="b">
        <f>IF(H126=FALSE,J126,TRUE)</f>
        <v>1</v>
      </c>
      <c r="J126" s="20" t="b">
        <f>TRUE</f>
        <v>1</v>
      </c>
      <c r="K126" s="28"/>
      <c r="L126" s="7"/>
      <c r="M126" s="8"/>
      <c r="N126" s="8"/>
    </row>
    <row r="127" spans="1:14" x14ac:dyDescent="0.3">
      <c r="A127" t="s">
        <v>77</v>
      </c>
      <c r="E127" s="18"/>
      <c r="F127" s="20" t="b">
        <f>TRUE</f>
        <v>1</v>
      </c>
      <c r="G127" s="22" t="b">
        <f t="shared" ref="G127:G133" si="17">NOT(F127)</f>
        <v>0</v>
      </c>
      <c r="H127" s="20" t="b">
        <f>TRUE</f>
        <v>1</v>
      </c>
      <c r="I127" s="22" t="b">
        <f t="shared" ref="I127:I133" si="18">IF(H127=FALSE,J127,TRUE)</f>
        <v>1</v>
      </c>
      <c r="J127" s="20" t="b">
        <f>FALSE</f>
        <v>0</v>
      </c>
      <c r="K127" s="29"/>
      <c r="L127" s="7"/>
      <c r="M127" s="8"/>
      <c r="N127" s="8"/>
    </row>
    <row r="128" spans="1:14" x14ac:dyDescent="0.3">
      <c r="A128" t="s">
        <v>78</v>
      </c>
      <c r="E128" s="18"/>
      <c r="F128" s="20" t="b">
        <f>TRUE</f>
        <v>1</v>
      </c>
      <c r="G128" s="22" t="b">
        <f t="shared" si="17"/>
        <v>0</v>
      </c>
      <c r="H128" s="20" t="b">
        <f>FALSE</f>
        <v>0</v>
      </c>
      <c r="I128" s="22" t="b">
        <f t="shared" si="18"/>
        <v>1</v>
      </c>
      <c r="J128" s="20" t="b">
        <f>TRUE</f>
        <v>1</v>
      </c>
      <c r="K128" s="29"/>
      <c r="L128" s="7"/>
      <c r="M128" s="8"/>
      <c r="N128" s="8"/>
    </row>
    <row r="129" spans="1:14" x14ac:dyDescent="0.3">
      <c r="E129" s="18"/>
      <c r="F129" s="20" t="b">
        <f>TRUE</f>
        <v>1</v>
      </c>
      <c r="G129" s="22" t="b">
        <f t="shared" si="17"/>
        <v>0</v>
      </c>
      <c r="H129" s="20" t="b">
        <f>FALSE</f>
        <v>0</v>
      </c>
      <c r="I129" s="22" t="b">
        <f t="shared" si="18"/>
        <v>0</v>
      </c>
      <c r="J129" s="20" t="b">
        <f>FALSE</f>
        <v>0</v>
      </c>
      <c r="K129" s="30"/>
      <c r="L129" s="6"/>
      <c r="M129" s="6"/>
      <c r="N129" s="6"/>
    </row>
    <row r="130" spans="1:14" x14ac:dyDescent="0.3">
      <c r="E130" s="18"/>
      <c r="F130" s="20" t="b">
        <f>FALSE</f>
        <v>0</v>
      </c>
      <c r="G130" s="22" t="b">
        <f t="shared" si="17"/>
        <v>1</v>
      </c>
      <c r="H130" s="20" t="b">
        <f>TRUE</f>
        <v>1</v>
      </c>
      <c r="I130" s="22" t="b">
        <f t="shared" si="18"/>
        <v>1</v>
      </c>
      <c r="J130" s="20" t="b">
        <f>TRUE</f>
        <v>1</v>
      </c>
      <c r="K130" s="30"/>
      <c r="L130" s="6"/>
      <c r="M130" s="6"/>
      <c r="N130" s="6"/>
    </row>
    <row r="131" spans="1:14" x14ac:dyDescent="0.3">
      <c r="E131" s="18"/>
      <c r="F131" s="20" t="b">
        <f>FALSE</f>
        <v>0</v>
      </c>
      <c r="G131" s="22" t="b">
        <f t="shared" si="17"/>
        <v>1</v>
      </c>
      <c r="H131" s="20" t="b">
        <f>TRUE</f>
        <v>1</v>
      </c>
      <c r="I131" s="22" t="b">
        <f t="shared" si="18"/>
        <v>1</v>
      </c>
      <c r="J131" s="20" t="b">
        <f>FALSE</f>
        <v>0</v>
      </c>
      <c r="K131" s="30"/>
      <c r="L131" s="6"/>
      <c r="M131" s="6"/>
      <c r="N131" s="6"/>
    </row>
    <row r="132" spans="1:14" x14ac:dyDescent="0.3">
      <c r="F132" s="20" t="b">
        <f>FALSE</f>
        <v>0</v>
      </c>
      <c r="G132" s="22" t="b">
        <f t="shared" si="17"/>
        <v>1</v>
      </c>
      <c r="H132" s="20" t="b">
        <f>FALSE</f>
        <v>0</v>
      </c>
      <c r="I132" s="22" t="b">
        <f t="shared" si="18"/>
        <v>1</v>
      </c>
      <c r="J132" s="20" t="b">
        <f>TRUE</f>
        <v>1</v>
      </c>
      <c r="K132" s="30"/>
      <c r="L132" s="6"/>
      <c r="M132" s="6"/>
      <c r="N132" s="6"/>
    </row>
    <row r="133" spans="1:14" x14ac:dyDescent="0.3">
      <c r="F133" s="20" t="b">
        <f>FALSE</f>
        <v>0</v>
      </c>
      <c r="G133" s="22" t="b">
        <f t="shared" si="17"/>
        <v>1</v>
      </c>
      <c r="H133" s="20" t="b">
        <f>FALSE</f>
        <v>0</v>
      </c>
      <c r="I133" s="22" t="b">
        <f t="shared" si="18"/>
        <v>0</v>
      </c>
      <c r="J133" s="20" t="b">
        <f>FALSE</f>
        <v>0</v>
      </c>
      <c r="K133" s="30"/>
      <c r="L133" s="6"/>
      <c r="M133" s="6"/>
      <c r="N133" s="6"/>
    </row>
    <row r="134" spans="1:14" x14ac:dyDescent="0.3">
      <c r="H134" s="33"/>
      <c r="I134" s="33"/>
      <c r="J134" s="33"/>
      <c r="K134" s="6"/>
      <c r="L134" s="6"/>
      <c r="M134" s="6"/>
      <c r="N134" s="6"/>
    </row>
    <row r="135" spans="1:14" x14ac:dyDescent="0.3">
      <c r="H135" s="6"/>
      <c r="I135" s="6"/>
      <c r="J135" s="6"/>
      <c r="K135" s="6"/>
      <c r="L135" s="6"/>
      <c r="M135" s="6"/>
      <c r="N135" s="6"/>
    </row>
    <row r="136" spans="1:14" x14ac:dyDescent="0.3">
      <c r="H136" s="6"/>
      <c r="I136" s="6"/>
      <c r="J136" s="6"/>
      <c r="K136" s="6"/>
      <c r="L136" s="6"/>
      <c r="M136" s="6"/>
      <c r="N136" s="6"/>
    </row>
    <row r="137" spans="1:14" x14ac:dyDescent="0.3">
      <c r="A137">
        <f>COUNTIF(F126:F133,"VERDADERO")</f>
        <v>4</v>
      </c>
      <c r="H137" s="6"/>
      <c r="I137" s="6"/>
      <c r="J137" s="6"/>
      <c r="K137" s="6"/>
      <c r="L137" s="6"/>
      <c r="M137" s="6"/>
      <c r="N137" s="6"/>
    </row>
    <row r="138" spans="1:14" x14ac:dyDescent="0.3">
      <c r="H138" s="6"/>
      <c r="I138" s="6"/>
      <c r="J138" s="6"/>
      <c r="K138" s="6"/>
      <c r="L138" s="6"/>
      <c r="M138" s="6"/>
      <c r="N138" s="6"/>
    </row>
    <row r="139" spans="1:14" x14ac:dyDescent="0.3">
      <c r="H139" s="6"/>
      <c r="I139" s="6"/>
      <c r="J139" s="6"/>
      <c r="K139" s="6"/>
      <c r="L139" s="6"/>
      <c r="M139" s="6"/>
      <c r="N139" s="6"/>
    </row>
    <row r="140" spans="1:14" x14ac:dyDescent="0.3">
      <c r="H140" s="6"/>
      <c r="I140" s="6"/>
      <c r="J140" s="6"/>
      <c r="K140" s="6"/>
      <c r="L140" s="6"/>
      <c r="M140" s="6"/>
      <c r="N140" s="6"/>
    </row>
    <row r="141" spans="1:14" x14ac:dyDescent="0.3">
      <c r="H141" s="6"/>
      <c r="I141" s="6"/>
      <c r="J141" s="6"/>
      <c r="K141" s="6"/>
      <c r="L141" s="6"/>
      <c r="M141" s="6"/>
      <c r="N141" s="6"/>
    </row>
    <row r="142" spans="1:14" x14ac:dyDescent="0.3">
      <c r="H142" s="6"/>
      <c r="I142" s="6"/>
      <c r="J142" s="6"/>
      <c r="K142" s="6"/>
      <c r="L142" s="6"/>
      <c r="M142" s="6"/>
      <c r="N142" s="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50252-6E09-47C0-977D-70E7B5E1C2BF}">
  <dimension ref="A1:AA122"/>
  <sheetViews>
    <sheetView topLeftCell="A25" zoomScale="85" zoomScaleNormal="85" workbookViewId="0">
      <selection activeCell="K34" sqref="K34"/>
    </sheetView>
  </sheetViews>
  <sheetFormatPr baseColWidth="10" defaultRowHeight="14.4" x14ac:dyDescent="0.3"/>
  <sheetData>
    <row r="1" spans="1:23" x14ac:dyDescent="0.3">
      <c r="A1" t="s">
        <v>80</v>
      </c>
      <c r="G1" s="34" t="s">
        <v>5</v>
      </c>
      <c r="H1" s="20" t="s">
        <v>27</v>
      </c>
      <c r="I1" s="34" t="s">
        <v>7</v>
      </c>
      <c r="J1" s="20" t="s">
        <v>6</v>
      </c>
      <c r="K1" s="34" t="s">
        <v>57</v>
      </c>
      <c r="M1" s="34" t="s">
        <v>5</v>
      </c>
      <c r="N1" s="20" t="s">
        <v>27</v>
      </c>
      <c r="O1" s="34" t="s">
        <v>7</v>
      </c>
      <c r="P1" s="20" t="s">
        <v>6</v>
      </c>
      <c r="Q1" s="34" t="s">
        <v>57</v>
      </c>
      <c r="S1" s="34" t="s">
        <v>5</v>
      </c>
      <c r="T1" s="20" t="s">
        <v>27</v>
      </c>
      <c r="U1" s="34" t="s">
        <v>7</v>
      </c>
      <c r="V1" s="20" t="s">
        <v>6</v>
      </c>
      <c r="W1" s="34" t="s">
        <v>57</v>
      </c>
    </row>
    <row r="2" spans="1:23" x14ac:dyDescent="0.3">
      <c r="A2" t="s">
        <v>81</v>
      </c>
      <c r="G2" s="34" t="b">
        <f>TRUE</f>
        <v>1</v>
      </c>
      <c r="H2" s="20" t="b">
        <f>IF(G2=I2,TRUE,FALSE)</f>
        <v>1</v>
      </c>
      <c r="I2" s="34" t="b">
        <f>TRUE</f>
        <v>1</v>
      </c>
      <c r="J2" s="20" t="b">
        <f>IF(I2=FALSE,K2,TRUE)</f>
        <v>1</v>
      </c>
      <c r="K2" s="34" t="b">
        <f>TRUE</f>
        <v>1</v>
      </c>
      <c r="M2" s="34" t="b">
        <f>TRUE</f>
        <v>1</v>
      </c>
      <c r="N2" s="20" t="b">
        <f>IF(M2&lt;&gt;O2,FALSE,TRUE)</f>
        <v>1</v>
      </c>
      <c r="O2" s="34" t="b">
        <f>TRUE</f>
        <v>1</v>
      </c>
      <c r="P2" s="20" t="b">
        <f>IF(NOT(O2),Q2,TRUE)</f>
        <v>1</v>
      </c>
      <c r="Q2" s="34" t="b">
        <f>TRUE</f>
        <v>1</v>
      </c>
      <c r="S2" s="34" t="b">
        <f>TRUE</f>
        <v>1</v>
      </c>
      <c r="T2" s="20" t="b">
        <f>EXACT(S2,U2)</f>
        <v>1</v>
      </c>
      <c r="U2" s="34" t="b">
        <f>TRUE</f>
        <v>1</v>
      </c>
      <c r="V2" s="20" t="b">
        <f t="shared" ref="V2:V9" si="0">IF(AND(U2=FALSE,W2=FALSE),FALSE,TRUE)</f>
        <v>1</v>
      </c>
      <c r="W2" s="34" t="b">
        <f>TRUE</f>
        <v>1</v>
      </c>
    </row>
    <row r="3" spans="1:23" x14ac:dyDescent="0.3">
      <c r="A3" t="s">
        <v>82</v>
      </c>
      <c r="G3" s="34" t="b">
        <f>TRUE</f>
        <v>1</v>
      </c>
      <c r="H3" s="20" t="b">
        <f t="shared" ref="H3:H9" si="1">IF(G3=I3,TRUE,FALSE)</f>
        <v>1</v>
      </c>
      <c r="I3" s="34" t="b">
        <f>TRUE</f>
        <v>1</v>
      </c>
      <c r="J3" s="20" t="b">
        <f t="shared" ref="J3:J9" si="2">IF(I3=FALSE,K3,TRUE)</f>
        <v>1</v>
      </c>
      <c r="K3" s="34" t="b">
        <f>FALSE</f>
        <v>0</v>
      </c>
      <c r="M3" s="34" t="b">
        <f>TRUE</f>
        <v>1</v>
      </c>
      <c r="N3" s="20" t="b">
        <f t="shared" ref="N3:N9" si="3">IF(M3&lt;&gt;O3,FALSE,TRUE)</f>
        <v>1</v>
      </c>
      <c r="O3" s="34" t="b">
        <f>TRUE</f>
        <v>1</v>
      </c>
      <c r="P3" s="20" t="b">
        <f t="shared" ref="P3:P9" si="4">IF(NOT(O3),Q3,TRUE)</f>
        <v>1</v>
      </c>
      <c r="Q3" s="34" t="b">
        <f>FALSE</f>
        <v>0</v>
      </c>
      <c r="S3" s="34" t="b">
        <f>TRUE</f>
        <v>1</v>
      </c>
      <c r="T3" s="20" t="b">
        <f t="shared" ref="T3:T9" si="5">EXACT(S3,U3)</f>
        <v>1</v>
      </c>
      <c r="U3" s="34" t="b">
        <f>TRUE</f>
        <v>1</v>
      </c>
      <c r="V3" s="20" t="b">
        <f t="shared" si="0"/>
        <v>1</v>
      </c>
      <c r="W3" s="34" t="b">
        <f>FALSE</f>
        <v>0</v>
      </c>
    </row>
    <row r="4" spans="1:23" x14ac:dyDescent="0.3">
      <c r="A4" t="s">
        <v>83</v>
      </c>
      <c r="G4" s="34" t="b">
        <f>TRUE</f>
        <v>1</v>
      </c>
      <c r="H4" s="20" t="b">
        <f t="shared" si="1"/>
        <v>0</v>
      </c>
      <c r="I4" s="34" t="b">
        <f>FALSE</f>
        <v>0</v>
      </c>
      <c r="J4" s="20" t="b">
        <f t="shared" si="2"/>
        <v>1</v>
      </c>
      <c r="K4" s="34" t="b">
        <f>TRUE</f>
        <v>1</v>
      </c>
      <c r="M4" s="34" t="b">
        <f>TRUE</f>
        <v>1</v>
      </c>
      <c r="N4" s="20" t="b">
        <f t="shared" si="3"/>
        <v>0</v>
      </c>
      <c r="O4" s="34" t="b">
        <f>FALSE</f>
        <v>0</v>
      </c>
      <c r="P4" s="20" t="b">
        <f t="shared" si="4"/>
        <v>1</v>
      </c>
      <c r="Q4" s="34" t="b">
        <f>TRUE</f>
        <v>1</v>
      </c>
      <c r="S4" s="34" t="b">
        <f>TRUE</f>
        <v>1</v>
      </c>
      <c r="T4" s="20" t="b">
        <f t="shared" si="5"/>
        <v>0</v>
      </c>
      <c r="U4" s="34" t="b">
        <f>FALSE</f>
        <v>0</v>
      </c>
      <c r="V4" s="20" t="b">
        <f t="shared" si="0"/>
        <v>1</v>
      </c>
      <c r="W4" s="34" t="b">
        <f>TRUE</f>
        <v>1</v>
      </c>
    </row>
    <row r="5" spans="1:23" x14ac:dyDescent="0.3">
      <c r="A5" t="s">
        <v>84</v>
      </c>
      <c r="G5" s="34" t="b">
        <f>TRUE</f>
        <v>1</v>
      </c>
      <c r="H5" s="20" t="b">
        <f t="shared" si="1"/>
        <v>0</v>
      </c>
      <c r="I5" s="34" t="b">
        <f>FALSE</f>
        <v>0</v>
      </c>
      <c r="J5" s="20" t="b">
        <f t="shared" si="2"/>
        <v>0</v>
      </c>
      <c r="K5" s="34" t="b">
        <f>FALSE</f>
        <v>0</v>
      </c>
      <c r="M5" s="34" t="b">
        <f>TRUE</f>
        <v>1</v>
      </c>
      <c r="N5" s="20" t="b">
        <f t="shared" si="3"/>
        <v>0</v>
      </c>
      <c r="O5" s="34" t="b">
        <f>FALSE</f>
        <v>0</v>
      </c>
      <c r="P5" s="20" t="b">
        <f t="shared" si="4"/>
        <v>0</v>
      </c>
      <c r="Q5" s="34" t="b">
        <f>FALSE</f>
        <v>0</v>
      </c>
      <c r="S5" s="34" t="b">
        <f>TRUE</f>
        <v>1</v>
      </c>
      <c r="T5" s="20" t="b">
        <f t="shared" si="5"/>
        <v>0</v>
      </c>
      <c r="U5" s="34" t="b">
        <f>FALSE</f>
        <v>0</v>
      </c>
      <c r="V5" s="20" t="b">
        <f t="shared" si="0"/>
        <v>0</v>
      </c>
      <c r="W5" s="34" t="b">
        <f>FALSE</f>
        <v>0</v>
      </c>
    </row>
    <row r="6" spans="1:23" x14ac:dyDescent="0.3">
      <c r="G6" s="34" t="b">
        <f>FALSE</f>
        <v>0</v>
      </c>
      <c r="H6" s="20" t="b">
        <f t="shared" si="1"/>
        <v>0</v>
      </c>
      <c r="I6" s="34" t="b">
        <f>TRUE</f>
        <v>1</v>
      </c>
      <c r="J6" s="20" t="b">
        <f t="shared" si="2"/>
        <v>1</v>
      </c>
      <c r="K6" s="34" t="b">
        <f>TRUE</f>
        <v>1</v>
      </c>
      <c r="M6" s="34" t="b">
        <f>FALSE</f>
        <v>0</v>
      </c>
      <c r="N6" s="20" t="b">
        <f t="shared" si="3"/>
        <v>0</v>
      </c>
      <c r="O6" s="34" t="b">
        <f>TRUE</f>
        <v>1</v>
      </c>
      <c r="P6" s="20" t="b">
        <f t="shared" si="4"/>
        <v>1</v>
      </c>
      <c r="Q6" s="34" t="b">
        <f>TRUE</f>
        <v>1</v>
      </c>
      <c r="S6" s="34" t="b">
        <f>FALSE</f>
        <v>0</v>
      </c>
      <c r="T6" s="20" t="b">
        <f t="shared" si="5"/>
        <v>0</v>
      </c>
      <c r="U6" s="34" t="b">
        <f>TRUE</f>
        <v>1</v>
      </c>
      <c r="V6" s="20" t="b">
        <f t="shared" si="0"/>
        <v>1</v>
      </c>
      <c r="W6" s="34" t="b">
        <f>TRUE</f>
        <v>1</v>
      </c>
    </row>
    <row r="7" spans="1:23" x14ac:dyDescent="0.3">
      <c r="G7" s="34" t="b">
        <f>FALSE</f>
        <v>0</v>
      </c>
      <c r="H7" s="20" t="b">
        <f t="shared" si="1"/>
        <v>0</v>
      </c>
      <c r="I7" s="34" t="b">
        <f>TRUE</f>
        <v>1</v>
      </c>
      <c r="J7" s="20" t="b">
        <f t="shared" si="2"/>
        <v>1</v>
      </c>
      <c r="K7" s="34" t="b">
        <f>FALSE</f>
        <v>0</v>
      </c>
      <c r="M7" s="34" t="b">
        <f>FALSE</f>
        <v>0</v>
      </c>
      <c r="N7" s="20" t="b">
        <f t="shared" si="3"/>
        <v>0</v>
      </c>
      <c r="O7" s="34" t="b">
        <f>TRUE</f>
        <v>1</v>
      </c>
      <c r="P7" s="20" t="b">
        <f t="shared" si="4"/>
        <v>1</v>
      </c>
      <c r="Q7" s="34" t="b">
        <f>FALSE</f>
        <v>0</v>
      </c>
      <c r="S7" s="34" t="b">
        <f>FALSE</f>
        <v>0</v>
      </c>
      <c r="T7" s="20" t="b">
        <f t="shared" si="5"/>
        <v>0</v>
      </c>
      <c r="U7" s="34" t="b">
        <f>TRUE</f>
        <v>1</v>
      </c>
      <c r="V7" s="20" t="b">
        <f t="shared" si="0"/>
        <v>1</v>
      </c>
      <c r="W7" s="34" t="b">
        <f>FALSE</f>
        <v>0</v>
      </c>
    </row>
    <row r="8" spans="1:23" x14ac:dyDescent="0.3">
      <c r="G8" s="34" t="b">
        <f>FALSE</f>
        <v>0</v>
      </c>
      <c r="H8" s="20" t="b">
        <f t="shared" si="1"/>
        <v>1</v>
      </c>
      <c r="I8" s="34" t="b">
        <f>FALSE</f>
        <v>0</v>
      </c>
      <c r="J8" s="20" t="b">
        <f t="shared" si="2"/>
        <v>1</v>
      </c>
      <c r="K8" s="35" t="b">
        <f>TRUE</f>
        <v>1</v>
      </c>
      <c r="L8" s="36"/>
      <c r="M8" s="37" t="b">
        <f>FALSE</f>
        <v>0</v>
      </c>
      <c r="N8" s="20" t="b">
        <f t="shared" si="3"/>
        <v>1</v>
      </c>
      <c r="O8" s="34" t="b">
        <f>FALSE</f>
        <v>0</v>
      </c>
      <c r="P8" s="20" t="b">
        <f t="shared" si="4"/>
        <v>1</v>
      </c>
      <c r="Q8" s="34" t="b">
        <f>TRUE</f>
        <v>1</v>
      </c>
      <c r="S8" s="34" t="b">
        <f>FALSE</f>
        <v>0</v>
      </c>
      <c r="T8" s="20" t="b">
        <f t="shared" si="5"/>
        <v>1</v>
      </c>
      <c r="U8" s="34" t="b">
        <f>FALSE</f>
        <v>0</v>
      </c>
      <c r="V8" s="20" t="b">
        <f t="shared" si="0"/>
        <v>1</v>
      </c>
      <c r="W8" s="34" t="b">
        <f>TRUE</f>
        <v>1</v>
      </c>
    </row>
    <row r="9" spans="1:23" x14ac:dyDescent="0.3">
      <c r="G9" s="34" t="b">
        <f>FALSE</f>
        <v>0</v>
      </c>
      <c r="H9" s="20" t="b">
        <f t="shared" si="1"/>
        <v>1</v>
      </c>
      <c r="I9" s="34" t="b">
        <f>FALSE</f>
        <v>0</v>
      </c>
      <c r="J9" s="38" t="b">
        <f t="shared" si="2"/>
        <v>0</v>
      </c>
      <c r="K9" s="39" t="b">
        <f>FALSE</f>
        <v>0</v>
      </c>
      <c r="L9" s="36"/>
      <c r="M9" s="37" t="b">
        <f>FALSE</f>
        <v>0</v>
      </c>
      <c r="N9" s="20" t="b">
        <f t="shared" si="3"/>
        <v>1</v>
      </c>
      <c r="O9" s="34" t="b">
        <f>FALSE</f>
        <v>0</v>
      </c>
      <c r="P9" s="20" t="b">
        <f t="shared" si="4"/>
        <v>0</v>
      </c>
      <c r="Q9" s="34" t="b">
        <f>FALSE</f>
        <v>0</v>
      </c>
      <c r="S9" s="34" t="b">
        <f>FALSE</f>
        <v>0</v>
      </c>
      <c r="T9" s="20" t="b">
        <f t="shared" si="5"/>
        <v>1</v>
      </c>
      <c r="U9" s="34" t="b">
        <f>FALSE</f>
        <v>0</v>
      </c>
      <c r="V9" s="20" t="b">
        <f t="shared" si="0"/>
        <v>0</v>
      </c>
      <c r="W9" s="34" t="b">
        <f>FALSE</f>
        <v>0</v>
      </c>
    </row>
    <row r="10" spans="1:23" x14ac:dyDescent="0.3">
      <c r="A10" t="s">
        <v>85</v>
      </c>
      <c r="H10" s="40" t="str">
        <f>IF(COUNTIF(H2:H9,TRUE)=COUNTA(H2:H9),"TAUTOLOGIA",IF(COUNTIF(H2:H9,FALSE)=COUNTA(H2:H9),"CONTRADICCION","REFUTABLE"))</f>
        <v>REFUTABLE</v>
      </c>
      <c r="N10" s="40" t="str">
        <f>IF(COUNTIF(N2:N9,TRUE)=COUNTA(N2:N9),"TAUTOLOGIA",IF(COUNTIF(N2:N9,FALSE)=COUNTA(N2:N9),"CONTRADICCION","REFUTABLE"))</f>
        <v>REFUTABLE</v>
      </c>
      <c r="T10" s="40" t="str">
        <f>IF(COUNTIF(T2:T9,TRUE)=COUNTA(T2:T9),"TAUTOLOGIA",IF(COUNTIF(T2:T9,FALSE)=COUNTA(T2:T9),"CONTRADICCION","REFUTABLE"))</f>
        <v>REFUTABLE</v>
      </c>
    </row>
    <row r="11" spans="1:23" x14ac:dyDescent="0.3">
      <c r="A11" t="s">
        <v>86</v>
      </c>
    </row>
    <row r="12" spans="1:23" x14ac:dyDescent="0.3">
      <c r="A12" t="s">
        <v>87</v>
      </c>
    </row>
    <row r="13" spans="1:23" x14ac:dyDescent="0.3">
      <c r="A13" t="s">
        <v>88</v>
      </c>
    </row>
    <row r="14" spans="1:23" x14ac:dyDescent="0.3">
      <c r="A14" t="s">
        <v>89</v>
      </c>
    </row>
    <row r="15" spans="1:23" x14ac:dyDescent="0.3">
      <c r="A15" t="s">
        <v>90</v>
      </c>
    </row>
    <row r="18" spans="1:22" x14ac:dyDescent="0.3">
      <c r="B18" t="s">
        <v>5</v>
      </c>
      <c r="C18" t="s">
        <v>34</v>
      </c>
      <c r="D18" t="s">
        <v>7</v>
      </c>
      <c r="E18" t="s">
        <v>91</v>
      </c>
      <c r="F18" t="s">
        <v>10</v>
      </c>
      <c r="G18" t="s">
        <v>57</v>
      </c>
      <c r="I18" t="s">
        <v>5</v>
      </c>
      <c r="J18" t="s">
        <v>34</v>
      </c>
      <c r="K18" t="s">
        <v>7</v>
      </c>
      <c r="L18" t="s">
        <v>91</v>
      </c>
      <c r="M18" t="s">
        <v>10</v>
      </c>
      <c r="N18" t="s">
        <v>57</v>
      </c>
      <c r="P18" t="s">
        <v>5</v>
      </c>
      <c r="Q18" t="s">
        <v>34</v>
      </c>
      <c r="R18" t="s">
        <v>7</v>
      </c>
      <c r="S18" t="s">
        <v>91</v>
      </c>
      <c r="T18" t="s">
        <v>10</v>
      </c>
      <c r="U18" t="s">
        <v>57</v>
      </c>
    </row>
    <row r="19" spans="1:22" x14ac:dyDescent="0.3">
      <c r="B19" s="34" t="b">
        <f>TRUE</f>
        <v>1</v>
      </c>
      <c r="C19" s="20" t="b">
        <f t="shared" ref="C19:C26" si="6">IF(B19,F19,TRUE)</f>
        <v>0</v>
      </c>
      <c r="D19" s="34" t="b">
        <f>TRUE</f>
        <v>1</v>
      </c>
      <c r="E19" s="20" t="b">
        <f t="shared" ref="E19:E26" si="7">IF(D19,FALSE,TRUE)</f>
        <v>0</v>
      </c>
      <c r="F19" s="20" t="b">
        <f>IF(E19,G19,FALSE)</f>
        <v>0</v>
      </c>
      <c r="G19" s="34" t="b">
        <f>TRUE</f>
        <v>1</v>
      </c>
      <c r="I19" s="34" t="b">
        <f>TRUE</f>
        <v>1</v>
      </c>
      <c r="J19" s="20" t="b">
        <f>IF(I19=FALSE,TRUE,M19)</f>
        <v>0</v>
      </c>
      <c r="K19" s="34" t="b">
        <f>TRUE</f>
        <v>1</v>
      </c>
      <c r="L19" s="20" t="b">
        <f t="shared" ref="L19:L26" si="8">IF(K19=FALSE,TRUE)</f>
        <v>0</v>
      </c>
      <c r="M19" s="20" t="b">
        <f t="shared" ref="M19:M26" si="9">IF(L19=FALSE,FALSE,N19)</f>
        <v>0</v>
      </c>
      <c r="N19" s="34" t="b">
        <f>TRUE</f>
        <v>1</v>
      </c>
      <c r="P19" s="34" t="b">
        <f>TRUE</f>
        <v>1</v>
      </c>
      <c r="Q19" s="20" t="b">
        <f>IF(AND(P19,T19=FALSE),FALSE,TRUE)</f>
        <v>0</v>
      </c>
      <c r="R19" s="34" t="b">
        <f>TRUE</f>
        <v>1</v>
      </c>
      <c r="S19" s="20" t="b">
        <f t="shared" ref="S19:S26" si="10">IF(NOT(R19),TRUE,FALSE)</f>
        <v>0</v>
      </c>
      <c r="T19" s="20" t="b">
        <f>IF(OR(S19=FALSE,U19=FALSE),FALSE,TRUE)</f>
        <v>0</v>
      </c>
      <c r="U19" s="34" t="b">
        <f>TRUE</f>
        <v>1</v>
      </c>
    </row>
    <row r="20" spans="1:22" x14ac:dyDescent="0.3">
      <c r="B20" s="34" t="b">
        <f>TRUE</f>
        <v>1</v>
      </c>
      <c r="C20" s="20" t="b">
        <f t="shared" si="6"/>
        <v>0</v>
      </c>
      <c r="D20" s="34" t="b">
        <f>TRUE</f>
        <v>1</v>
      </c>
      <c r="E20" s="20" t="b">
        <f t="shared" si="7"/>
        <v>0</v>
      </c>
      <c r="F20" s="20" t="b">
        <f t="shared" ref="F20:F26" si="11">IF(E20,G20,FALSE)</f>
        <v>0</v>
      </c>
      <c r="G20" s="34" t="b">
        <f>FALSE</f>
        <v>0</v>
      </c>
      <c r="I20" s="34" t="b">
        <f>TRUE</f>
        <v>1</v>
      </c>
      <c r="J20" s="20" t="b">
        <f t="shared" ref="J20:J26" si="12">IF(I20=FALSE,TRUE,M20)</f>
        <v>0</v>
      </c>
      <c r="K20" s="34" t="b">
        <f>TRUE</f>
        <v>1</v>
      </c>
      <c r="L20" s="20" t="b">
        <f t="shared" si="8"/>
        <v>0</v>
      </c>
      <c r="M20" s="20" t="b">
        <f t="shared" si="9"/>
        <v>0</v>
      </c>
      <c r="N20" s="34" t="b">
        <f>FALSE</f>
        <v>0</v>
      </c>
      <c r="P20" s="34" t="b">
        <f>TRUE</f>
        <v>1</v>
      </c>
      <c r="Q20" s="20" t="b">
        <f t="shared" ref="Q20:Q26" si="13">IF(AND(P20,T20=FALSE),FALSE,TRUE)</f>
        <v>0</v>
      </c>
      <c r="R20" s="34" t="b">
        <f>TRUE</f>
        <v>1</v>
      </c>
      <c r="S20" s="20" t="b">
        <f t="shared" si="10"/>
        <v>0</v>
      </c>
      <c r="T20" s="20" t="b">
        <f t="shared" ref="T20:T25" si="14">IF(OR(S20=FALSE,U20=FALSE),FALSE,TRUE)</f>
        <v>0</v>
      </c>
      <c r="U20" s="34" t="b">
        <f>FALSE</f>
        <v>0</v>
      </c>
    </row>
    <row r="21" spans="1:22" x14ac:dyDescent="0.3">
      <c r="B21" s="34" t="b">
        <f>TRUE</f>
        <v>1</v>
      </c>
      <c r="C21" s="20" t="b">
        <f t="shared" si="6"/>
        <v>1</v>
      </c>
      <c r="D21" s="34" t="b">
        <f>FALSE</f>
        <v>0</v>
      </c>
      <c r="E21" s="20" t="b">
        <f t="shared" si="7"/>
        <v>1</v>
      </c>
      <c r="F21" s="20" t="b">
        <f t="shared" si="11"/>
        <v>1</v>
      </c>
      <c r="G21" s="34" t="b">
        <f>TRUE</f>
        <v>1</v>
      </c>
      <c r="I21" s="34" t="b">
        <f>TRUE</f>
        <v>1</v>
      </c>
      <c r="J21" s="20" t="b">
        <f t="shared" si="12"/>
        <v>1</v>
      </c>
      <c r="K21" s="34" t="b">
        <f>FALSE</f>
        <v>0</v>
      </c>
      <c r="L21" s="20" t="b">
        <f t="shared" si="8"/>
        <v>1</v>
      </c>
      <c r="M21" s="20" t="b">
        <f t="shared" si="9"/>
        <v>1</v>
      </c>
      <c r="N21" s="34" t="b">
        <f>TRUE</f>
        <v>1</v>
      </c>
      <c r="P21" s="34" t="b">
        <f>TRUE</f>
        <v>1</v>
      </c>
      <c r="Q21" s="20" t="b">
        <f t="shared" si="13"/>
        <v>1</v>
      </c>
      <c r="R21" s="34" t="b">
        <f>FALSE</f>
        <v>0</v>
      </c>
      <c r="S21" s="20" t="b">
        <f t="shared" si="10"/>
        <v>1</v>
      </c>
      <c r="T21" s="20" t="b">
        <f t="shared" si="14"/>
        <v>1</v>
      </c>
      <c r="U21" s="34" t="b">
        <f>TRUE</f>
        <v>1</v>
      </c>
    </row>
    <row r="22" spans="1:22" x14ac:dyDescent="0.3">
      <c r="B22" s="34" t="b">
        <f>TRUE</f>
        <v>1</v>
      </c>
      <c r="C22" s="20" t="b">
        <f t="shared" si="6"/>
        <v>0</v>
      </c>
      <c r="D22" s="34" t="b">
        <f>FALSE</f>
        <v>0</v>
      </c>
      <c r="E22" s="20" t="b">
        <f t="shared" si="7"/>
        <v>1</v>
      </c>
      <c r="F22" s="20" t="b">
        <f t="shared" si="11"/>
        <v>0</v>
      </c>
      <c r="G22" s="34" t="b">
        <f>FALSE</f>
        <v>0</v>
      </c>
      <c r="I22" s="34" t="b">
        <f>TRUE</f>
        <v>1</v>
      </c>
      <c r="J22" s="20" t="b">
        <f t="shared" si="12"/>
        <v>0</v>
      </c>
      <c r="K22" s="34" t="b">
        <f>FALSE</f>
        <v>0</v>
      </c>
      <c r="L22" s="20" t="b">
        <f t="shared" si="8"/>
        <v>1</v>
      </c>
      <c r="M22" s="20" t="b">
        <f t="shared" si="9"/>
        <v>0</v>
      </c>
      <c r="N22" s="34" t="b">
        <f>FALSE</f>
        <v>0</v>
      </c>
      <c r="P22" s="34" t="b">
        <f>TRUE</f>
        <v>1</v>
      </c>
      <c r="Q22" s="20" t="b">
        <f t="shared" si="13"/>
        <v>0</v>
      </c>
      <c r="R22" s="34" t="b">
        <f>FALSE</f>
        <v>0</v>
      </c>
      <c r="S22" s="20" t="b">
        <f t="shared" si="10"/>
        <v>1</v>
      </c>
      <c r="T22" s="20" t="b">
        <f t="shared" si="14"/>
        <v>0</v>
      </c>
      <c r="U22" s="34" t="b">
        <f>FALSE</f>
        <v>0</v>
      </c>
    </row>
    <row r="23" spans="1:22" x14ac:dyDescent="0.3">
      <c r="B23" s="34" t="b">
        <f>FALSE</f>
        <v>0</v>
      </c>
      <c r="C23" s="20" t="b">
        <f t="shared" si="6"/>
        <v>1</v>
      </c>
      <c r="D23" s="34" t="b">
        <f>TRUE</f>
        <v>1</v>
      </c>
      <c r="E23" s="20" t="b">
        <f t="shared" si="7"/>
        <v>0</v>
      </c>
      <c r="F23" s="20" t="b">
        <f t="shared" si="11"/>
        <v>0</v>
      </c>
      <c r="G23" s="34" t="b">
        <f>TRUE</f>
        <v>1</v>
      </c>
      <c r="I23" s="34" t="b">
        <f>FALSE</f>
        <v>0</v>
      </c>
      <c r="J23" s="20" t="b">
        <f t="shared" si="12"/>
        <v>1</v>
      </c>
      <c r="K23" s="34" t="b">
        <f>TRUE</f>
        <v>1</v>
      </c>
      <c r="L23" s="20" t="b">
        <f t="shared" si="8"/>
        <v>0</v>
      </c>
      <c r="M23" s="20" t="b">
        <f t="shared" si="9"/>
        <v>0</v>
      </c>
      <c r="N23" s="34" t="b">
        <f>TRUE</f>
        <v>1</v>
      </c>
      <c r="P23" s="34" t="b">
        <f>FALSE</f>
        <v>0</v>
      </c>
      <c r="Q23" s="20" t="b">
        <f t="shared" si="13"/>
        <v>1</v>
      </c>
      <c r="R23" s="34" t="b">
        <f>TRUE</f>
        <v>1</v>
      </c>
      <c r="S23" s="20" t="b">
        <f t="shared" si="10"/>
        <v>0</v>
      </c>
      <c r="T23" s="20" t="b">
        <f t="shared" si="14"/>
        <v>0</v>
      </c>
      <c r="U23" s="34" t="b">
        <f>TRUE</f>
        <v>1</v>
      </c>
    </row>
    <row r="24" spans="1:22" x14ac:dyDescent="0.3">
      <c r="B24" s="34" t="b">
        <f>FALSE</f>
        <v>0</v>
      </c>
      <c r="C24" s="20" t="b">
        <f t="shared" si="6"/>
        <v>1</v>
      </c>
      <c r="D24" s="34" t="b">
        <f>TRUE</f>
        <v>1</v>
      </c>
      <c r="E24" s="20" t="b">
        <f t="shared" si="7"/>
        <v>0</v>
      </c>
      <c r="F24" s="20" t="b">
        <f t="shared" si="11"/>
        <v>0</v>
      </c>
      <c r="G24" s="34" t="b">
        <f>FALSE</f>
        <v>0</v>
      </c>
      <c r="I24" s="34" t="b">
        <f>FALSE</f>
        <v>0</v>
      </c>
      <c r="J24" s="20" t="b">
        <f t="shared" si="12"/>
        <v>1</v>
      </c>
      <c r="K24" s="34" t="b">
        <f>TRUE</f>
        <v>1</v>
      </c>
      <c r="L24" s="20" t="b">
        <f t="shared" si="8"/>
        <v>0</v>
      </c>
      <c r="M24" s="20" t="b">
        <f t="shared" si="9"/>
        <v>0</v>
      </c>
      <c r="N24" s="34" t="b">
        <f>FALSE</f>
        <v>0</v>
      </c>
      <c r="P24" s="34" t="b">
        <f>FALSE</f>
        <v>0</v>
      </c>
      <c r="Q24" s="20" t="b">
        <f t="shared" si="13"/>
        <v>1</v>
      </c>
      <c r="R24" s="34" t="b">
        <f>TRUE</f>
        <v>1</v>
      </c>
      <c r="S24" s="20" t="b">
        <f t="shared" si="10"/>
        <v>0</v>
      </c>
      <c r="T24" s="20" t="b">
        <f t="shared" si="14"/>
        <v>0</v>
      </c>
      <c r="U24" s="34" t="b">
        <f>FALSE</f>
        <v>0</v>
      </c>
    </row>
    <row r="25" spans="1:22" x14ac:dyDescent="0.3">
      <c r="B25" s="34" t="b">
        <f>FALSE</f>
        <v>0</v>
      </c>
      <c r="C25" s="20" t="b">
        <f t="shared" si="6"/>
        <v>1</v>
      </c>
      <c r="D25" s="34" t="b">
        <f>FALSE</f>
        <v>0</v>
      </c>
      <c r="E25" s="20" t="b">
        <f t="shared" si="7"/>
        <v>1</v>
      </c>
      <c r="F25" s="20" t="b">
        <f t="shared" si="11"/>
        <v>1</v>
      </c>
      <c r="G25" s="34" t="b">
        <f>TRUE</f>
        <v>1</v>
      </c>
      <c r="I25" s="34" t="b">
        <f>FALSE</f>
        <v>0</v>
      </c>
      <c r="J25" s="20" t="b">
        <f t="shared" si="12"/>
        <v>1</v>
      </c>
      <c r="K25" s="34" t="b">
        <f>FALSE</f>
        <v>0</v>
      </c>
      <c r="L25" s="20" t="b">
        <f t="shared" si="8"/>
        <v>1</v>
      </c>
      <c r="M25" s="20" t="b">
        <f t="shared" si="9"/>
        <v>1</v>
      </c>
      <c r="N25" s="34" t="b">
        <f>TRUE</f>
        <v>1</v>
      </c>
      <c r="P25" s="34" t="b">
        <f>FALSE</f>
        <v>0</v>
      </c>
      <c r="Q25" s="20" t="b">
        <f t="shared" si="13"/>
        <v>1</v>
      </c>
      <c r="R25" s="34" t="b">
        <f>FALSE</f>
        <v>0</v>
      </c>
      <c r="S25" s="20" t="b">
        <f t="shared" si="10"/>
        <v>1</v>
      </c>
      <c r="T25" s="20" t="b">
        <f t="shared" si="14"/>
        <v>1</v>
      </c>
      <c r="U25" s="34" t="b">
        <f>TRUE</f>
        <v>1</v>
      </c>
    </row>
    <row r="26" spans="1:22" x14ac:dyDescent="0.3">
      <c r="B26" s="34" t="b">
        <f>FALSE</f>
        <v>0</v>
      </c>
      <c r="C26" s="20" t="b">
        <f t="shared" si="6"/>
        <v>1</v>
      </c>
      <c r="D26" s="34" t="b">
        <f>FALSE</f>
        <v>0</v>
      </c>
      <c r="E26" s="20" t="b">
        <f t="shared" si="7"/>
        <v>1</v>
      </c>
      <c r="F26" s="20" t="b">
        <f t="shared" si="11"/>
        <v>0</v>
      </c>
      <c r="G26" s="34" t="b">
        <f>FALSE</f>
        <v>0</v>
      </c>
      <c r="I26" s="34" t="b">
        <f>FALSE</f>
        <v>0</v>
      </c>
      <c r="J26" s="20" t="b">
        <f t="shared" si="12"/>
        <v>1</v>
      </c>
      <c r="K26" s="34" t="b">
        <f>FALSE</f>
        <v>0</v>
      </c>
      <c r="L26" s="20" t="b">
        <f t="shared" si="8"/>
        <v>1</v>
      </c>
      <c r="M26" s="20" t="b">
        <f t="shared" si="9"/>
        <v>0</v>
      </c>
      <c r="N26" s="34" t="b">
        <f>FALSE</f>
        <v>0</v>
      </c>
      <c r="P26" s="34" t="b">
        <f>FALSE</f>
        <v>0</v>
      </c>
      <c r="Q26" s="20" t="b">
        <f t="shared" si="13"/>
        <v>1</v>
      </c>
      <c r="R26" s="34" t="b">
        <f>FALSE</f>
        <v>0</v>
      </c>
      <c r="S26" s="20" t="b">
        <f t="shared" si="10"/>
        <v>1</v>
      </c>
      <c r="T26" s="20" t="b">
        <f t="shared" ref="T26" si="15">IF(OR(S19=FALSE,U19=FALSE),FALSE,TRUE)</f>
        <v>0</v>
      </c>
      <c r="U26" s="34" t="b">
        <f>FALSE</f>
        <v>0</v>
      </c>
    </row>
    <row r="27" spans="1:22" x14ac:dyDescent="0.3">
      <c r="C27" s="40" t="str">
        <f>IF(COUNTIF(C19:C26,TRUE)=COUNTA(C19:C26),"TAUTOLOGIA",IF(COUNTIF(C19:C26,FALSE)=COUNTA(C19:C26),"CONTRADICCION","REFUTABLE"))</f>
        <v>REFUTABLE</v>
      </c>
      <c r="J27" s="40" t="str">
        <f>IF(COUNTIF(J19:J26,TRUE)=COUNTA(J19:J26),"TAUTOLOGIA",IF(COUNTIF(J19:J26,FALSE)=COUNTA(J19:J26),"CONTRADICCION","REFUTABLE"))</f>
        <v>REFUTABLE</v>
      </c>
      <c r="Q27" s="40" t="str">
        <f>IF(COUNTIF(Q19:Q26,TRUE)=COUNTA(Q19:Q26),"TAUTOLOGIA",IF(COUNTIF(Q19:Q26,FALSE)=COUNTA(Q19:Q26),"CONTRADICCION","REFUTABLE"))</f>
        <v>REFUTABLE</v>
      </c>
    </row>
    <row r="29" spans="1:22" x14ac:dyDescent="0.3">
      <c r="A29" t="s">
        <v>92</v>
      </c>
    </row>
    <row r="30" spans="1:22" x14ac:dyDescent="0.3">
      <c r="A30" t="s">
        <v>93</v>
      </c>
      <c r="F30" s="34" t="s">
        <v>57</v>
      </c>
      <c r="G30" s="20" t="s">
        <v>94</v>
      </c>
      <c r="H30" s="34" t="s">
        <v>5</v>
      </c>
      <c r="I30" s="20" t="s">
        <v>10</v>
      </c>
      <c r="J30" s="34" t="s">
        <v>7</v>
      </c>
      <c r="L30" s="34" t="s">
        <v>5</v>
      </c>
      <c r="M30" s="20" t="s">
        <v>94</v>
      </c>
      <c r="N30" s="34" t="s">
        <v>7</v>
      </c>
      <c r="O30" s="20" t="s">
        <v>10</v>
      </c>
      <c r="P30" s="34" t="s">
        <v>57</v>
      </c>
      <c r="R30" s="34" t="s">
        <v>57</v>
      </c>
      <c r="S30" s="20" t="s">
        <v>94</v>
      </c>
      <c r="T30" s="34" t="s">
        <v>5</v>
      </c>
      <c r="U30" s="20" t="s">
        <v>10</v>
      </c>
      <c r="V30" s="34" t="s">
        <v>7</v>
      </c>
    </row>
    <row r="31" spans="1:22" x14ac:dyDescent="0.3">
      <c r="A31" t="s">
        <v>95</v>
      </c>
      <c r="F31" s="34" t="b">
        <f>TRUE</f>
        <v>1</v>
      </c>
      <c r="G31" s="20" t="b">
        <f>IF(F31,I31,TRUE)</f>
        <v>1</v>
      </c>
      <c r="H31" s="34" t="b">
        <f>TRUE</f>
        <v>1</v>
      </c>
      <c r="I31" s="20" t="b">
        <f>IF(H31,J31,FALSE)</f>
        <v>1</v>
      </c>
      <c r="J31" s="34" t="b">
        <f>TRUE</f>
        <v>1</v>
      </c>
      <c r="L31" s="34" t="b">
        <f>TRUE</f>
        <v>1</v>
      </c>
      <c r="M31" s="20" t="b">
        <f>IF(L31,O31,TRUE)</f>
        <v>1</v>
      </c>
      <c r="N31" s="34" t="b">
        <f>TRUE</f>
        <v>1</v>
      </c>
      <c r="O31" s="20" t="b">
        <f t="shared" ref="O31:O38" si="16">IF(N31=FALSE,FALSE,P31)</f>
        <v>1</v>
      </c>
      <c r="P31" s="34" t="b">
        <f>TRUE</f>
        <v>1</v>
      </c>
      <c r="R31" s="34" t="b">
        <f>TRUE</f>
        <v>1</v>
      </c>
      <c r="S31" s="20" t="b">
        <f>IF(AND(R31,U31=FALSE),FALSE,TRUE)</f>
        <v>1</v>
      </c>
      <c r="T31" s="34" t="b">
        <f>TRUE</f>
        <v>1</v>
      </c>
      <c r="U31" s="20" t="b">
        <f>IF(OR(T31=FALSE,V31=FALSE),FALSE,TRUE)</f>
        <v>1</v>
      </c>
      <c r="V31" s="34" t="b">
        <f>TRUE</f>
        <v>1</v>
      </c>
    </row>
    <row r="32" spans="1:22" x14ac:dyDescent="0.3">
      <c r="A32" t="s">
        <v>96</v>
      </c>
      <c r="F32" s="34" t="b">
        <f>TRUE</f>
        <v>1</v>
      </c>
      <c r="G32" s="20" t="b">
        <f t="shared" ref="G32:G38" si="17">IF(F32,I32,TRUE)</f>
        <v>0</v>
      </c>
      <c r="H32" s="34" t="b">
        <f>TRUE</f>
        <v>1</v>
      </c>
      <c r="I32" s="20" t="b">
        <f t="shared" ref="I32:I38" si="18">IF(H32,J32,FALSE)</f>
        <v>0</v>
      </c>
      <c r="J32" s="34" t="b">
        <f>FALSE</f>
        <v>0</v>
      </c>
      <c r="L32" s="34" t="b">
        <f>TRUE</f>
        <v>1</v>
      </c>
      <c r="M32" s="20" t="b">
        <f t="shared" ref="M32:M38" si="19">IF(L32,O32,TRUE)</f>
        <v>0</v>
      </c>
      <c r="N32" s="34" t="b">
        <f>TRUE</f>
        <v>1</v>
      </c>
      <c r="O32" s="20" t="b">
        <f t="shared" si="16"/>
        <v>0</v>
      </c>
      <c r="P32" s="34" t="b">
        <f>FALSE</f>
        <v>0</v>
      </c>
      <c r="R32" s="34" t="b">
        <f>TRUE</f>
        <v>1</v>
      </c>
      <c r="S32" s="20" t="b">
        <f t="shared" ref="S32:S38" si="20">IF(AND(R32,U32=FALSE),FALSE,TRUE)</f>
        <v>0</v>
      </c>
      <c r="T32" s="34" t="b">
        <f>TRUE</f>
        <v>1</v>
      </c>
      <c r="U32" s="20" t="b">
        <f t="shared" ref="U32:U38" si="21">IF(OR(T32=FALSE,V32=FALSE),FALSE,TRUE)</f>
        <v>0</v>
      </c>
      <c r="V32" s="34" t="b">
        <f>FALSE</f>
        <v>0</v>
      </c>
    </row>
    <row r="33" spans="1:27" x14ac:dyDescent="0.3">
      <c r="A33" t="s">
        <v>97</v>
      </c>
      <c r="F33" s="34" t="b">
        <f>TRUE</f>
        <v>1</v>
      </c>
      <c r="G33" s="20" t="b">
        <f t="shared" si="17"/>
        <v>0</v>
      </c>
      <c r="H33" s="34" t="b">
        <f>FALSE</f>
        <v>0</v>
      </c>
      <c r="I33" s="20" t="b">
        <f t="shared" si="18"/>
        <v>0</v>
      </c>
      <c r="J33" s="34" t="b">
        <f>TRUE</f>
        <v>1</v>
      </c>
      <c r="L33" s="34" t="b">
        <f>TRUE</f>
        <v>1</v>
      </c>
      <c r="M33" s="20" t="b">
        <f t="shared" si="19"/>
        <v>0</v>
      </c>
      <c r="N33" s="34" t="b">
        <f>FALSE</f>
        <v>0</v>
      </c>
      <c r="O33" s="20" t="b">
        <f t="shared" si="16"/>
        <v>0</v>
      </c>
      <c r="P33" s="34" t="b">
        <f>TRUE</f>
        <v>1</v>
      </c>
      <c r="R33" s="34" t="b">
        <f>TRUE</f>
        <v>1</v>
      </c>
      <c r="S33" s="20" t="b">
        <f t="shared" si="20"/>
        <v>0</v>
      </c>
      <c r="T33" s="34" t="b">
        <f>FALSE</f>
        <v>0</v>
      </c>
      <c r="U33" s="20" t="b">
        <f t="shared" si="21"/>
        <v>0</v>
      </c>
      <c r="V33" s="34" t="b">
        <f>TRUE</f>
        <v>1</v>
      </c>
    </row>
    <row r="34" spans="1:27" x14ac:dyDescent="0.3">
      <c r="F34" s="34" t="b">
        <f>TRUE</f>
        <v>1</v>
      </c>
      <c r="G34" s="20" t="b">
        <f t="shared" si="17"/>
        <v>0</v>
      </c>
      <c r="H34" s="34" t="b">
        <f>FALSE</f>
        <v>0</v>
      </c>
      <c r="I34" s="20" t="b">
        <f t="shared" si="18"/>
        <v>0</v>
      </c>
      <c r="J34" s="34" t="b">
        <f>FALSE</f>
        <v>0</v>
      </c>
      <c r="L34" s="34" t="b">
        <f>TRUE</f>
        <v>1</v>
      </c>
      <c r="M34" s="20" t="b">
        <f t="shared" si="19"/>
        <v>0</v>
      </c>
      <c r="N34" s="34" t="b">
        <f>FALSE</f>
        <v>0</v>
      </c>
      <c r="O34" s="20" t="b">
        <f t="shared" si="16"/>
        <v>0</v>
      </c>
      <c r="P34" s="34" t="b">
        <f>FALSE</f>
        <v>0</v>
      </c>
      <c r="R34" s="34" t="b">
        <f>TRUE</f>
        <v>1</v>
      </c>
      <c r="S34" s="20" t="b">
        <f t="shared" si="20"/>
        <v>0</v>
      </c>
      <c r="T34" s="34" t="b">
        <f>FALSE</f>
        <v>0</v>
      </c>
      <c r="U34" s="20" t="b">
        <f t="shared" si="21"/>
        <v>0</v>
      </c>
      <c r="V34" s="34" t="b">
        <f>FALSE</f>
        <v>0</v>
      </c>
    </row>
    <row r="35" spans="1:27" x14ac:dyDescent="0.3">
      <c r="F35" s="34" t="b">
        <f>FALSE</f>
        <v>0</v>
      </c>
      <c r="G35" s="20" t="b">
        <f t="shared" si="17"/>
        <v>1</v>
      </c>
      <c r="H35" s="34" t="b">
        <f>TRUE</f>
        <v>1</v>
      </c>
      <c r="I35" s="20" t="b">
        <f t="shared" si="18"/>
        <v>1</v>
      </c>
      <c r="J35" s="34" t="b">
        <f>TRUE</f>
        <v>1</v>
      </c>
      <c r="L35" s="34" t="b">
        <f>FALSE</f>
        <v>0</v>
      </c>
      <c r="M35" s="20" t="b">
        <f t="shared" si="19"/>
        <v>1</v>
      </c>
      <c r="N35" s="34" t="b">
        <f>TRUE</f>
        <v>1</v>
      </c>
      <c r="O35" s="20" t="b">
        <f t="shared" si="16"/>
        <v>1</v>
      </c>
      <c r="P35" s="34" t="b">
        <f>TRUE</f>
        <v>1</v>
      </c>
      <c r="R35" s="34" t="b">
        <f>FALSE</f>
        <v>0</v>
      </c>
      <c r="S35" s="20" t="b">
        <f t="shared" si="20"/>
        <v>1</v>
      </c>
      <c r="T35" s="34" t="b">
        <f>TRUE</f>
        <v>1</v>
      </c>
      <c r="U35" s="20" t="b">
        <f t="shared" si="21"/>
        <v>1</v>
      </c>
      <c r="V35" s="34" t="b">
        <f>TRUE</f>
        <v>1</v>
      </c>
    </row>
    <row r="36" spans="1:27" x14ac:dyDescent="0.3">
      <c r="F36" s="34" t="b">
        <f>FALSE</f>
        <v>0</v>
      </c>
      <c r="G36" s="20" t="b">
        <f t="shared" si="17"/>
        <v>1</v>
      </c>
      <c r="H36" s="34" t="b">
        <f>TRUE</f>
        <v>1</v>
      </c>
      <c r="I36" s="20" t="b">
        <f t="shared" si="18"/>
        <v>0</v>
      </c>
      <c r="J36" s="34" t="b">
        <f>FALSE</f>
        <v>0</v>
      </c>
      <c r="L36" s="34" t="b">
        <f>FALSE</f>
        <v>0</v>
      </c>
      <c r="M36" s="20" t="b">
        <f t="shared" si="19"/>
        <v>1</v>
      </c>
      <c r="N36" s="34" t="b">
        <f>TRUE</f>
        <v>1</v>
      </c>
      <c r="O36" s="20" t="b">
        <f t="shared" si="16"/>
        <v>0</v>
      </c>
      <c r="P36" s="34" t="b">
        <f>FALSE</f>
        <v>0</v>
      </c>
      <c r="R36" s="34" t="b">
        <f>FALSE</f>
        <v>0</v>
      </c>
      <c r="S36" s="20" t="b">
        <f t="shared" si="20"/>
        <v>1</v>
      </c>
      <c r="T36" s="34" t="b">
        <f>TRUE</f>
        <v>1</v>
      </c>
      <c r="U36" s="20" t="b">
        <f t="shared" si="21"/>
        <v>0</v>
      </c>
      <c r="V36" s="34" t="b">
        <f>FALSE</f>
        <v>0</v>
      </c>
    </row>
    <row r="37" spans="1:27" x14ac:dyDescent="0.3">
      <c r="F37" s="34" t="b">
        <f>FALSE</f>
        <v>0</v>
      </c>
      <c r="G37" s="20" t="b">
        <f t="shared" si="17"/>
        <v>1</v>
      </c>
      <c r="H37" s="34" t="b">
        <f>FALSE</f>
        <v>0</v>
      </c>
      <c r="I37" s="20" t="b">
        <f t="shared" si="18"/>
        <v>0</v>
      </c>
      <c r="J37" s="35" t="b">
        <f>TRUE</f>
        <v>1</v>
      </c>
      <c r="L37" s="34" t="b">
        <f>FALSE</f>
        <v>0</v>
      </c>
      <c r="M37" s="20" t="b">
        <f t="shared" si="19"/>
        <v>1</v>
      </c>
      <c r="N37" s="34" t="b">
        <f>FALSE</f>
        <v>0</v>
      </c>
      <c r="O37" s="20" t="b">
        <f t="shared" si="16"/>
        <v>0</v>
      </c>
      <c r="P37" s="35" t="b">
        <f>TRUE</f>
        <v>1</v>
      </c>
      <c r="R37" s="34" t="b">
        <f>FALSE</f>
        <v>0</v>
      </c>
      <c r="S37" s="20" t="b">
        <f t="shared" si="20"/>
        <v>1</v>
      </c>
      <c r="T37" s="34" t="b">
        <f>FALSE</f>
        <v>0</v>
      </c>
      <c r="U37" s="20" t="b">
        <f t="shared" si="21"/>
        <v>0</v>
      </c>
      <c r="V37" s="35" t="b">
        <f>TRUE</f>
        <v>1</v>
      </c>
    </row>
    <row r="38" spans="1:27" x14ac:dyDescent="0.3">
      <c r="F38" s="34" t="b">
        <f>FALSE</f>
        <v>0</v>
      </c>
      <c r="G38" s="20" t="b">
        <f t="shared" si="17"/>
        <v>1</v>
      </c>
      <c r="H38" s="34" t="b">
        <f>FALSE</f>
        <v>0</v>
      </c>
      <c r="I38" s="20" t="b">
        <f t="shared" si="18"/>
        <v>0</v>
      </c>
      <c r="J38" s="39" t="b">
        <f>FALSE</f>
        <v>0</v>
      </c>
      <c r="L38" s="34" t="b">
        <f>FALSE</f>
        <v>0</v>
      </c>
      <c r="M38" s="20" t="b">
        <f t="shared" si="19"/>
        <v>1</v>
      </c>
      <c r="N38" s="34" t="b">
        <f>FALSE</f>
        <v>0</v>
      </c>
      <c r="O38" s="20" t="b">
        <f t="shared" si="16"/>
        <v>0</v>
      </c>
      <c r="P38" s="39" t="b">
        <f>FALSE</f>
        <v>0</v>
      </c>
      <c r="R38" s="34" t="b">
        <f>FALSE</f>
        <v>0</v>
      </c>
      <c r="S38" s="20" t="b">
        <f t="shared" si="20"/>
        <v>1</v>
      </c>
      <c r="T38" s="34" t="b">
        <f>FALSE</f>
        <v>0</v>
      </c>
      <c r="U38" s="20" t="b">
        <f t="shared" si="21"/>
        <v>0</v>
      </c>
      <c r="V38" s="39" t="b">
        <f>FALSE</f>
        <v>0</v>
      </c>
    </row>
    <row r="39" spans="1:27" x14ac:dyDescent="0.3">
      <c r="G39" s="40" t="str">
        <f>IF(COUNTIF(G31:G38,TRUE)=COUNTA(G31:G38),"TAUTOLOGIA",IF(COUNTIF(G31:G38,FALSE)=COUNTA(G31:G38),"CONTRADICCION","REFUTABLE"))</f>
        <v>REFUTABLE</v>
      </c>
      <c r="M39" s="40" t="str">
        <f>IF(COUNTIF(M31:M38,TRUE)=COUNTA(M31:M38),"TAUTOLOGIA",IF(COUNTIF(M31:M38,FALSE)=COUNTA(M31:M38),"CONTRADICCION","REFUTABLE"))</f>
        <v>REFUTABLE</v>
      </c>
      <c r="S39" s="40" t="str">
        <f>IF(COUNTIF(S31:S38,TRUE)=COUNTA(S31:S38),"TAUTOLOGIA",IF(COUNTIF(S31:S38,FALSE)=COUNTA(S31:S38),"CONTRADICCION","REFUTABLE"))</f>
        <v>REFUTABLE</v>
      </c>
    </row>
    <row r="41" spans="1:27" x14ac:dyDescent="0.3">
      <c r="A41" t="s">
        <v>98</v>
      </c>
    </row>
    <row r="42" spans="1:27" x14ac:dyDescent="0.3">
      <c r="A42" t="s">
        <v>99</v>
      </c>
      <c r="E42" s="34" t="s">
        <v>5</v>
      </c>
      <c r="F42" s="20" t="s">
        <v>100</v>
      </c>
      <c r="G42" s="20" t="s">
        <v>34</v>
      </c>
      <c r="H42" s="34" t="s">
        <v>101</v>
      </c>
      <c r="I42" s="20" t="s">
        <v>10</v>
      </c>
      <c r="J42" s="34" t="s">
        <v>57</v>
      </c>
      <c r="K42" s="20" t="s">
        <v>102</v>
      </c>
      <c r="M42" s="34" t="s">
        <v>5</v>
      </c>
      <c r="N42" s="20" t="s">
        <v>100</v>
      </c>
      <c r="O42" s="20" t="s">
        <v>34</v>
      </c>
      <c r="P42" s="34" t="s">
        <v>7</v>
      </c>
      <c r="Q42" s="20" t="s">
        <v>10</v>
      </c>
      <c r="R42" s="34" t="s">
        <v>57</v>
      </c>
      <c r="S42" s="20" t="s">
        <v>103</v>
      </c>
      <c r="U42" s="34" t="s">
        <v>5</v>
      </c>
      <c r="V42" s="20" t="s">
        <v>100</v>
      </c>
      <c r="W42" s="20" t="s">
        <v>34</v>
      </c>
      <c r="X42" s="34" t="s">
        <v>7</v>
      </c>
      <c r="Y42" s="20" t="s">
        <v>10</v>
      </c>
      <c r="Z42" s="34" t="s">
        <v>57</v>
      </c>
      <c r="AA42" s="20" t="s">
        <v>103</v>
      </c>
    </row>
    <row r="43" spans="1:27" x14ac:dyDescent="0.3">
      <c r="A43" t="s">
        <v>104</v>
      </c>
      <c r="E43" s="34" t="b">
        <f>TRUE</f>
        <v>1</v>
      </c>
      <c r="F43" s="20" t="b">
        <f>IF(E43,FALSE,TRUE)</f>
        <v>0</v>
      </c>
      <c r="G43" s="20" t="b">
        <f>IF(F43,I43,TRUE)</f>
        <v>1</v>
      </c>
      <c r="H43" s="34" t="b">
        <f>TRUE</f>
        <v>1</v>
      </c>
      <c r="I43" s="20" t="b">
        <f>IF(H43,J43,FALSE)</f>
        <v>1</v>
      </c>
      <c r="J43" s="34" t="b">
        <f>TRUE</f>
        <v>1</v>
      </c>
      <c r="K43" s="20" t="b">
        <f>IF(J43,FALSE,TRUE)</f>
        <v>0</v>
      </c>
      <c r="M43" s="34" t="b">
        <f>TRUE</f>
        <v>1</v>
      </c>
      <c r="N43" s="20" t="b">
        <f>IF(M43,FALSE,TRUE)</f>
        <v>0</v>
      </c>
      <c r="O43" s="20" t="b">
        <f>IF(N43=FALSE,TRUE,Q43)</f>
        <v>1</v>
      </c>
      <c r="P43" s="34" t="b">
        <f>TRUE</f>
        <v>1</v>
      </c>
      <c r="Q43" s="20" t="b">
        <f>IF(P43=FALSE,FALSE,R43)</f>
        <v>1</v>
      </c>
      <c r="R43" s="34" t="b">
        <f>TRUE</f>
        <v>1</v>
      </c>
      <c r="S43" s="20" t="b">
        <f>IF(R43=FALSE,TRUE,FALSE)</f>
        <v>0</v>
      </c>
      <c r="U43" s="34" t="b">
        <f>TRUE</f>
        <v>1</v>
      </c>
      <c r="V43" s="20" t="b">
        <f>IF(U43,FALSE,TRUE)</f>
        <v>0</v>
      </c>
      <c r="W43" s="20" t="b">
        <f>IF(AND(V43,Y43=FALSE),FALSE,TRUE)</f>
        <v>1</v>
      </c>
      <c r="X43" s="34" t="b">
        <f>TRUE</f>
        <v>1</v>
      </c>
      <c r="Y43" s="20" t="b">
        <f>IF(OR(X43=FALSE,Z43=FALSE),FALSE,TRUE)</f>
        <v>1</v>
      </c>
      <c r="Z43" s="34" t="b">
        <f>TRUE</f>
        <v>1</v>
      </c>
      <c r="AA43" s="20" t="b">
        <f>IF(NOT(Z43),TRUE,FALSE)</f>
        <v>0</v>
      </c>
    </row>
    <row r="44" spans="1:27" x14ac:dyDescent="0.3">
      <c r="A44" t="s">
        <v>105</v>
      </c>
      <c r="E44" s="34" t="b">
        <f>TRUE</f>
        <v>1</v>
      </c>
      <c r="F44" s="20" t="b">
        <f t="shared" ref="F44:F50" si="22">IF(E44,FALSE,TRUE)</f>
        <v>0</v>
      </c>
      <c r="G44" s="20" t="b">
        <f t="shared" ref="G44:G50" si="23">IF(F44,I44,TRUE)</f>
        <v>1</v>
      </c>
      <c r="H44" s="34" t="b">
        <f>TRUE</f>
        <v>1</v>
      </c>
      <c r="I44" s="20" t="b">
        <f t="shared" ref="I44:I50" si="24">IF(H44,J44,FALSE)</f>
        <v>0</v>
      </c>
      <c r="J44" s="34" t="b">
        <f>FALSE</f>
        <v>0</v>
      </c>
      <c r="K44" s="20" t="b">
        <f t="shared" ref="K44:K50" si="25">IF(J44,FALSE,TRUE)</f>
        <v>1</v>
      </c>
      <c r="M44" s="34" t="b">
        <f>TRUE</f>
        <v>1</v>
      </c>
      <c r="N44" s="20" t="b">
        <f t="shared" ref="N44:N50" si="26">IF(M44,FALSE,TRUE)</f>
        <v>0</v>
      </c>
      <c r="O44" s="20" t="b">
        <f t="shared" ref="O44:O50" si="27">IF(N44=FALSE,TRUE,Q44)</f>
        <v>1</v>
      </c>
      <c r="P44" s="34" t="b">
        <f>TRUE</f>
        <v>1</v>
      </c>
      <c r="Q44" s="20" t="b">
        <f t="shared" ref="Q44:Q50" si="28">IF(P44=FALSE,FALSE,R44)</f>
        <v>0</v>
      </c>
      <c r="R44" s="34" t="b">
        <f>FALSE</f>
        <v>0</v>
      </c>
      <c r="S44" s="20" t="b">
        <f t="shared" ref="S44:S50" si="29">IF(R44=FALSE,TRUE,FALSE)</f>
        <v>1</v>
      </c>
      <c r="U44" s="34" t="b">
        <f>TRUE</f>
        <v>1</v>
      </c>
      <c r="V44" s="20" t="b">
        <f t="shared" ref="V44:V50" si="30">IF(U44,FALSE,TRUE)</f>
        <v>0</v>
      </c>
      <c r="W44" s="20" t="b">
        <f t="shared" ref="W44:W50" si="31">IF(AND(V44,Y44=FALSE),FALSE,TRUE)</f>
        <v>1</v>
      </c>
      <c r="X44" s="34" t="b">
        <f>TRUE</f>
        <v>1</v>
      </c>
      <c r="Y44" s="20" t="b">
        <f t="shared" ref="Y44:Y50" si="32">IF(OR(X44=FALSE,Z44=FALSE),FALSE,TRUE)</f>
        <v>0</v>
      </c>
      <c r="Z44" s="34" t="b">
        <f>FALSE</f>
        <v>0</v>
      </c>
      <c r="AA44" s="20" t="b">
        <f t="shared" ref="AA44:AA50" si="33">IF(NOT(Z44),TRUE,FALSE)</f>
        <v>1</v>
      </c>
    </row>
    <row r="45" spans="1:27" x14ac:dyDescent="0.3">
      <c r="A45" t="s">
        <v>106</v>
      </c>
      <c r="E45" s="34" t="b">
        <f>TRUE</f>
        <v>1</v>
      </c>
      <c r="F45" s="20" t="b">
        <f t="shared" si="22"/>
        <v>0</v>
      </c>
      <c r="G45" s="20" t="b">
        <f t="shared" si="23"/>
        <v>1</v>
      </c>
      <c r="H45" s="34" t="b">
        <f>FALSE</f>
        <v>0</v>
      </c>
      <c r="I45" s="20" t="b">
        <f t="shared" si="24"/>
        <v>0</v>
      </c>
      <c r="J45" s="34" t="b">
        <f>TRUE</f>
        <v>1</v>
      </c>
      <c r="K45" s="20" t="b">
        <f t="shared" si="25"/>
        <v>0</v>
      </c>
      <c r="M45" s="34" t="b">
        <f>TRUE</f>
        <v>1</v>
      </c>
      <c r="N45" s="20" t="b">
        <f t="shared" si="26"/>
        <v>0</v>
      </c>
      <c r="O45" s="20" t="b">
        <f t="shared" si="27"/>
        <v>1</v>
      </c>
      <c r="P45" s="34" t="b">
        <f>FALSE</f>
        <v>0</v>
      </c>
      <c r="Q45" s="20" t="b">
        <f t="shared" si="28"/>
        <v>0</v>
      </c>
      <c r="R45" s="34" t="b">
        <f>TRUE</f>
        <v>1</v>
      </c>
      <c r="S45" s="20" t="b">
        <f t="shared" si="29"/>
        <v>0</v>
      </c>
      <c r="U45" s="34" t="b">
        <f>TRUE</f>
        <v>1</v>
      </c>
      <c r="V45" s="20" t="b">
        <f t="shared" si="30"/>
        <v>0</v>
      </c>
      <c r="W45" s="20" t="b">
        <f t="shared" si="31"/>
        <v>1</v>
      </c>
      <c r="X45" s="34" t="b">
        <f>FALSE</f>
        <v>0</v>
      </c>
      <c r="Y45" s="20" t="b">
        <f t="shared" si="32"/>
        <v>0</v>
      </c>
      <c r="Z45" s="34" t="b">
        <f>TRUE</f>
        <v>1</v>
      </c>
      <c r="AA45" s="20" t="b">
        <f t="shared" si="33"/>
        <v>0</v>
      </c>
    </row>
    <row r="46" spans="1:27" x14ac:dyDescent="0.3">
      <c r="A46" t="s">
        <v>107</v>
      </c>
      <c r="E46" s="34" t="b">
        <f>TRUE</f>
        <v>1</v>
      </c>
      <c r="F46" s="20" t="b">
        <f t="shared" si="22"/>
        <v>0</v>
      </c>
      <c r="G46" s="20" t="b">
        <f t="shared" si="23"/>
        <v>1</v>
      </c>
      <c r="H46" s="34" t="b">
        <f>FALSE</f>
        <v>0</v>
      </c>
      <c r="I46" s="20" t="b">
        <f t="shared" si="24"/>
        <v>0</v>
      </c>
      <c r="J46" s="34" t="b">
        <f>FALSE</f>
        <v>0</v>
      </c>
      <c r="K46" s="20" t="b">
        <f t="shared" si="25"/>
        <v>1</v>
      </c>
      <c r="M46" s="34" t="b">
        <f>TRUE</f>
        <v>1</v>
      </c>
      <c r="N46" s="20" t="b">
        <f t="shared" si="26"/>
        <v>0</v>
      </c>
      <c r="O46" s="20" t="b">
        <f t="shared" si="27"/>
        <v>1</v>
      </c>
      <c r="P46" s="34" t="b">
        <f>FALSE</f>
        <v>0</v>
      </c>
      <c r="Q46" s="20" t="b">
        <f t="shared" si="28"/>
        <v>0</v>
      </c>
      <c r="R46" s="34" t="b">
        <f>FALSE</f>
        <v>0</v>
      </c>
      <c r="S46" s="20" t="b">
        <f t="shared" si="29"/>
        <v>1</v>
      </c>
      <c r="U46" s="34" t="b">
        <f>TRUE</f>
        <v>1</v>
      </c>
      <c r="V46" s="20" t="b">
        <f t="shared" si="30"/>
        <v>0</v>
      </c>
      <c r="W46" s="20" t="b">
        <f t="shared" si="31"/>
        <v>1</v>
      </c>
      <c r="X46" s="34" t="b">
        <f>FALSE</f>
        <v>0</v>
      </c>
      <c r="Y46" s="20" t="b">
        <f t="shared" si="32"/>
        <v>0</v>
      </c>
      <c r="Z46" s="34" t="b">
        <f>FALSE</f>
        <v>0</v>
      </c>
      <c r="AA46" s="20" t="b">
        <f t="shared" si="33"/>
        <v>1</v>
      </c>
    </row>
    <row r="47" spans="1:27" x14ac:dyDescent="0.3">
      <c r="E47" s="34" t="b">
        <f>FALSE</f>
        <v>0</v>
      </c>
      <c r="F47" s="20" t="b">
        <f t="shared" si="22"/>
        <v>1</v>
      </c>
      <c r="G47" s="20" t="b">
        <f t="shared" si="23"/>
        <v>1</v>
      </c>
      <c r="H47" s="34" t="b">
        <f>TRUE</f>
        <v>1</v>
      </c>
      <c r="I47" s="20" t="b">
        <f t="shared" si="24"/>
        <v>1</v>
      </c>
      <c r="J47" s="34" t="b">
        <f>TRUE</f>
        <v>1</v>
      </c>
      <c r="K47" s="20" t="b">
        <f t="shared" si="25"/>
        <v>0</v>
      </c>
      <c r="M47" s="34" t="b">
        <f>FALSE</f>
        <v>0</v>
      </c>
      <c r="N47" s="20" t="b">
        <f t="shared" si="26"/>
        <v>1</v>
      </c>
      <c r="O47" s="20" t="b">
        <f t="shared" si="27"/>
        <v>1</v>
      </c>
      <c r="P47" s="34" t="b">
        <f>TRUE</f>
        <v>1</v>
      </c>
      <c r="Q47" s="20" t="b">
        <f t="shared" si="28"/>
        <v>1</v>
      </c>
      <c r="R47" s="34" t="b">
        <f>TRUE</f>
        <v>1</v>
      </c>
      <c r="S47" s="20" t="b">
        <f t="shared" si="29"/>
        <v>0</v>
      </c>
      <c r="U47" s="34" t="b">
        <f>FALSE</f>
        <v>0</v>
      </c>
      <c r="V47" s="20" t="b">
        <f t="shared" si="30"/>
        <v>1</v>
      </c>
      <c r="W47" s="20" t="b">
        <f t="shared" si="31"/>
        <v>1</v>
      </c>
      <c r="X47" s="34" t="b">
        <f>TRUE</f>
        <v>1</v>
      </c>
      <c r="Y47" s="20" t="b">
        <f t="shared" si="32"/>
        <v>1</v>
      </c>
      <c r="Z47" s="34" t="b">
        <f>TRUE</f>
        <v>1</v>
      </c>
      <c r="AA47" s="20" t="b">
        <f t="shared" si="33"/>
        <v>0</v>
      </c>
    </row>
    <row r="48" spans="1:27" x14ac:dyDescent="0.3">
      <c r="E48" s="34" t="b">
        <f>FALSE</f>
        <v>0</v>
      </c>
      <c r="F48" s="20" t="b">
        <f t="shared" si="22"/>
        <v>1</v>
      </c>
      <c r="G48" s="20" t="b">
        <f t="shared" si="23"/>
        <v>0</v>
      </c>
      <c r="H48" s="34" t="b">
        <f>TRUE</f>
        <v>1</v>
      </c>
      <c r="I48" s="20" t="b">
        <f t="shared" si="24"/>
        <v>0</v>
      </c>
      <c r="J48" s="34" t="b">
        <f>FALSE</f>
        <v>0</v>
      </c>
      <c r="K48" s="20" t="b">
        <f t="shared" si="25"/>
        <v>1</v>
      </c>
      <c r="M48" s="34" t="b">
        <f>FALSE</f>
        <v>0</v>
      </c>
      <c r="N48" s="20" t="b">
        <f t="shared" si="26"/>
        <v>1</v>
      </c>
      <c r="O48" s="20" t="b">
        <f t="shared" si="27"/>
        <v>0</v>
      </c>
      <c r="P48" s="34" t="b">
        <f>TRUE</f>
        <v>1</v>
      </c>
      <c r="Q48" s="20" t="b">
        <f t="shared" si="28"/>
        <v>0</v>
      </c>
      <c r="R48" s="34" t="b">
        <f>FALSE</f>
        <v>0</v>
      </c>
      <c r="S48" s="20" t="b">
        <f t="shared" si="29"/>
        <v>1</v>
      </c>
      <c r="U48" s="34" t="b">
        <f>FALSE</f>
        <v>0</v>
      </c>
      <c r="V48" s="20" t="b">
        <f t="shared" si="30"/>
        <v>1</v>
      </c>
      <c r="W48" s="20" t="b">
        <f t="shared" si="31"/>
        <v>0</v>
      </c>
      <c r="X48" s="34" t="b">
        <f>TRUE</f>
        <v>1</v>
      </c>
      <c r="Y48" s="20" t="b">
        <f t="shared" si="32"/>
        <v>0</v>
      </c>
      <c r="Z48" s="34" t="b">
        <f>FALSE</f>
        <v>0</v>
      </c>
      <c r="AA48" s="20" t="b">
        <f t="shared" si="33"/>
        <v>1</v>
      </c>
    </row>
    <row r="49" spans="1:27" x14ac:dyDescent="0.3">
      <c r="E49" s="34" t="b">
        <f>FALSE</f>
        <v>0</v>
      </c>
      <c r="F49" s="20" t="b">
        <f t="shared" si="22"/>
        <v>1</v>
      </c>
      <c r="G49" s="20" t="b">
        <f t="shared" si="23"/>
        <v>0</v>
      </c>
      <c r="H49" s="34" t="b">
        <f>FALSE</f>
        <v>0</v>
      </c>
      <c r="I49" s="20" t="b">
        <f t="shared" si="24"/>
        <v>0</v>
      </c>
      <c r="J49" s="34" t="b">
        <f>TRUE</f>
        <v>1</v>
      </c>
      <c r="K49" s="20" t="b">
        <f t="shared" si="25"/>
        <v>0</v>
      </c>
      <c r="M49" s="34" t="b">
        <f>FALSE</f>
        <v>0</v>
      </c>
      <c r="N49" s="20" t="b">
        <f t="shared" si="26"/>
        <v>1</v>
      </c>
      <c r="O49" s="20" t="b">
        <f t="shared" si="27"/>
        <v>0</v>
      </c>
      <c r="P49" s="34" t="b">
        <f>FALSE</f>
        <v>0</v>
      </c>
      <c r="Q49" s="20" t="b">
        <f t="shared" si="28"/>
        <v>0</v>
      </c>
      <c r="R49" s="34" t="b">
        <f>TRUE</f>
        <v>1</v>
      </c>
      <c r="S49" s="20" t="b">
        <f t="shared" si="29"/>
        <v>0</v>
      </c>
      <c r="U49" s="34" t="b">
        <f>FALSE</f>
        <v>0</v>
      </c>
      <c r="V49" s="20" t="b">
        <f t="shared" si="30"/>
        <v>1</v>
      </c>
      <c r="W49" s="20" t="b">
        <f t="shared" si="31"/>
        <v>0</v>
      </c>
      <c r="X49" s="34" t="b">
        <f>FALSE</f>
        <v>0</v>
      </c>
      <c r="Y49" s="20" t="b">
        <f t="shared" si="32"/>
        <v>0</v>
      </c>
      <c r="Z49" s="34" t="b">
        <f>TRUE</f>
        <v>1</v>
      </c>
      <c r="AA49" s="20" t="b">
        <f t="shared" si="33"/>
        <v>0</v>
      </c>
    </row>
    <row r="50" spans="1:27" x14ac:dyDescent="0.3">
      <c r="E50" s="34" t="b">
        <f>FALSE</f>
        <v>0</v>
      </c>
      <c r="F50" s="20" t="b">
        <f t="shared" si="22"/>
        <v>1</v>
      </c>
      <c r="G50" s="20" t="b">
        <f t="shared" si="23"/>
        <v>0</v>
      </c>
      <c r="H50" s="34" t="b">
        <f>FALSE</f>
        <v>0</v>
      </c>
      <c r="I50" s="20" t="b">
        <f t="shared" si="24"/>
        <v>0</v>
      </c>
      <c r="J50" s="34" t="b">
        <f>FALSE</f>
        <v>0</v>
      </c>
      <c r="K50" s="20" t="b">
        <f t="shared" si="25"/>
        <v>1</v>
      </c>
      <c r="M50" s="34" t="b">
        <f>FALSE</f>
        <v>0</v>
      </c>
      <c r="N50" s="20" t="b">
        <f t="shared" si="26"/>
        <v>1</v>
      </c>
      <c r="O50" s="20" t="b">
        <f t="shared" si="27"/>
        <v>0</v>
      </c>
      <c r="P50" s="34" t="b">
        <f>FALSE</f>
        <v>0</v>
      </c>
      <c r="Q50" s="20" t="b">
        <f t="shared" si="28"/>
        <v>0</v>
      </c>
      <c r="R50" s="34" t="b">
        <f>FALSE</f>
        <v>0</v>
      </c>
      <c r="S50" s="20" t="b">
        <f t="shared" si="29"/>
        <v>1</v>
      </c>
      <c r="U50" s="34" t="b">
        <f>FALSE</f>
        <v>0</v>
      </c>
      <c r="V50" s="20" t="b">
        <f t="shared" si="30"/>
        <v>1</v>
      </c>
      <c r="W50" s="20" t="b">
        <f t="shared" si="31"/>
        <v>0</v>
      </c>
      <c r="X50" s="34" t="b">
        <f>FALSE</f>
        <v>0</v>
      </c>
      <c r="Y50" s="20" t="b">
        <f t="shared" si="32"/>
        <v>0</v>
      </c>
      <c r="Z50" s="34" t="b">
        <f>FALSE</f>
        <v>0</v>
      </c>
      <c r="AA50" s="20" t="b">
        <f t="shared" si="33"/>
        <v>1</v>
      </c>
    </row>
    <row r="51" spans="1:27" x14ac:dyDescent="0.3">
      <c r="G51" s="40" t="str">
        <f>IF(COUNTIF(G43:G50,TRUE)=COUNTA(G43:G50),"TAUTOLOGIA",IF(COUNTIF(G43:G50,FALSE)=COUNTA(G43:G50),"CONTRADICCION","REFUTABLE"))</f>
        <v>REFUTABLE</v>
      </c>
      <c r="N51" s="40" t="str">
        <f>IF(COUNTIF(N43:N50,TRUE)=COUNTA(N43:N50),"TAUTOLOGIA",IF(COUNTIF(N43:N50,FALSE)=COUNTA(N43:N50),"CONTRADICCION","REFUTABLE"))</f>
        <v>REFUTABLE</v>
      </c>
      <c r="V51" s="40" t="str">
        <f>IF(COUNTIF(V43:V50,TRUE)=COUNTA(V43:V50),"TAUTOLOGIA",IF(COUNTIF(V43:V50,FALSE)=COUNTA(V43:V50),"CONTRADICCION","REFUTABLE"))</f>
        <v>REFUTABLE</v>
      </c>
    </row>
    <row r="53" spans="1:27" x14ac:dyDescent="0.3">
      <c r="A53" t="s">
        <v>108</v>
      </c>
    </row>
    <row r="54" spans="1:27" x14ac:dyDescent="0.3">
      <c r="A54" t="s">
        <v>109</v>
      </c>
      <c r="F54" s="34" t="s">
        <v>5</v>
      </c>
      <c r="G54" s="20" t="s">
        <v>6</v>
      </c>
      <c r="H54" s="34" t="s">
        <v>7</v>
      </c>
      <c r="I54" s="20" t="s">
        <v>10</v>
      </c>
      <c r="J54" s="34" t="s">
        <v>57</v>
      </c>
      <c r="L54" s="34" t="s">
        <v>5</v>
      </c>
      <c r="M54" s="20" t="s">
        <v>6</v>
      </c>
      <c r="N54" s="34" t="s">
        <v>7</v>
      </c>
      <c r="O54" s="20" t="s">
        <v>10</v>
      </c>
      <c r="P54" s="34" t="s">
        <v>57</v>
      </c>
      <c r="R54" s="34" t="s">
        <v>5</v>
      </c>
      <c r="S54" s="20" t="s">
        <v>6</v>
      </c>
      <c r="T54" s="34" t="s">
        <v>7</v>
      </c>
      <c r="U54" s="20" t="s">
        <v>10</v>
      </c>
      <c r="V54" s="34" t="s">
        <v>57</v>
      </c>
    </row>
    <row r="55" spans="1:27" x14ac:dyDescent="0.3">
      <c r="A55" t="s">
        <v>110</v>
      </c>
      <c r="F55" s="34" t="b">
        <f>TRUE</f>
        <v>1</v>
      </c>
      <c r="G55" s="20" t="b">
        <f>IF(F55=FALSE,H55,TRUE)</f>
        <v>1</v>
      </c>
      <c r="H55" s="34" t="b">
        <f>TRUE</f>
        <v>1</v>
      </c>
      <c r="I55" s="20" t="b">
        <f>IF(G55,J55,FALSE)</f>
        <v>1</v>
      </c>
      <c r="J55" s="34" t="b">
        <f>TRUE</f>
        <v>1</v>
      </c>
      <c r="L55" s="34" t="b">
        <f>TRUE</f>
        <v>1</v>
      </c>
      <c r="M55" s="20" t="b">
        <f>IF(NOT(L55),N55,TRUE)</f>
        <v>1</v>
      </c>
      <c r="N55" s="34" t="b">
        <f>TRUE</f>
        <v>1</v>
      </c>
      <c r="O55" s="20" t="b">
        <f>IF(G55=FALSE,FALSE,P55)</f>
        <v>1</v>
      </c>
      <c r="P55" s="34" t="b">
        <f>TRUE</f>
        <v>1</v>
      </c>
      <c r="R55" s="34" t="b">
        <f>TRUE</f>
        <v>1</v>
      </c>
      <c r="S55" s="20" t="b">
        <f>IF(AND(R55=FALSE,T55=FALSE),FALSE,TRUE)</f>
        <v>1</v>
      </c>
      <c r="T55" s="34" t="b">
        <f>TRUE</f>
        <v>1</v>
      </c>
      <c r="U55" s="20" t="b">
        <f>IF(OR(G55=FALSE,V55=FALSE),FALSE,TRUE)</f>
        <v>1</v>
      </c>
      <c r="V55" s="34" t="b">
        <f>TRUE</f>
        <v>1</v>
      </c>
    </row>
    <row r="56" spans="1:27" x14ac:dyDescent="0.3">
      <c r="A56" t="s">
        <v>111</v>
      </c>
      <c r="F56" s="34" t="b">
        <f>TRUE</f>
        <v>1</v>
      </c>
      <c r="G56" s="20" t="b">
        <f t="shared" ref="G56:G62" si="34">IF(F56=FALSE,H56,TRUE)</f>
        <v>1</v>
      </c>
      <c r="H56" s="34" t="b">
        <f>TRUE</f>
        <v>1</v>
      </c>
      <c r="I56" s="20" t="b">
        <f t="shared" ref="I56:I62" si="35">IF(G56,J56,FALSE)</f>
        <v>0</v>
      </c>
      <c r="J56" s="34" t="b">
        <f>FALSE</f>
        <v>0</v>
      </c>
      <c r="L56" s="34" t="b">
        <f>TRUE</f>
        <v>1</v>
      </c>
      <c r="M56" s="20" t="b">
        <f t="shared" ref="M56:M62" si="36">IF(NOT(L56),N56,TRUE)</f>
        <v>1</v>
      </c>
      <c r="N56" s="34" t="b">
        <f>TRUE</f>
        <v>1</v>
      </c>
      <c r="O56" s="20" t="b">
        <f t="shared" ref="O56:O62" si="37">IF(G56=FALSE,FALSE,P56)</f>
        <v>0</v>
      </c>
      <c r="P56" s="34" t="b">
        <f>FALSE</f>
        <v>0</v>
      </c>
      <c r="R56" s="34" t="b">
        <f>TRUE</f>
        <v>1</v>
      </c>
      <c r="S56" s="20" t="b">
        <f t="shared" ref="S56:S62" si="38">IF(AND(R56=FALSE,T56=FALSE),FALSE,TRUE)</f>
        <v>1</v>
      </c>
      <c r="T56" s="34" t="b">
        <f>TRUE</f>
        <v>1</v>
      </c>
      <c r="U56" s="20" t="b">
        <f t="shared" ref="U56:U62" si="39">IF(OR(G56=FALSE,V56=FALSE),FALSE,TRUE)</f>
        <v>0</v>
      </c>
      <c r="V56" s="34" t="b">
        <f>FALSE</f>
        <v>0</v>
      </c>
    </row>
    <row r="57" spans="1:27" x14ac:dyDescent="0.3">
      <c r="A57" t="s">
        <v>112</v>
      </c>
      <c r="F57" s="34" t="b">
        <f>TRUE</f>
        <v>1</v>
      </c>
      <c r="G57" s="20" t="b">
        <f t="shared" si="34"/>
        <v>1</v>
      </c>
      <c r="H57" s="34" t="b">
        <f>FALSE</f>
        <v>0</v>
      </c>
      <c r="I57" s="20" t="b">
        <f t="shared" si="35"/>
        <v>1</v>
      </c>
      <c r="J57" s="34" t="b">
        <f>TRUE</f>
        <v>1</v>
      </c>
      <c r="L57" s="34" t="b">
        <f>TRUE</f>
        <v>1</v>
      </c>
      <c r="M57" s="20" t="b">
        <f t="shared" si="36"/>
        <v>1</v>
      </c>
      <c r="N57" s="34" t="b">
        <f>FALSE</f>
        <v>0</v>
      </c>
      <c r="O57" s="20" t="b">
        <f t="shared" si="37"/>
        <v>1</v>
      </c>
      <c r="P57" s="34" t="b">
        <f>TRUE</f>
        <v>1</v>
      </c>
      <c r="R57" s="34" t="b">
        <f>TRUE</f>
        <v>1</v>
      </c>
      <c r="S57" s="20" t="b">
        <f t="shared" si="38"/>
        <v>1</v>
      </c>
      <c r="T57" s="34" t="b">
        <f>FALSE</f>
        <v>0</v>
      </c>
      <c r="U57" s="20" t="b">
        <f t="shared" si="39"/>
        <v>1</v>
      </c>
      <c r="V57" s="34" t="b">
        <f>TRUE</f>
        <v>1</v>
      </c>
    </row>
    <row r="58" spans="1:27" x14ac:dyDescent="0.3">
      <c r="F58" s="34" t="b">
        <f>TRUE</f>
        <v>1</v>
      </c>
      <c r="G58" s="20" t="b">
        <f t="shared" si="34"/>
        <v>1</v>
      </c>
      <c r="H58" s="34" t="b">
        <f>FALSE</f>
        <v>0</v>
      </c>
      <c r="I58" s="20" t="b">
        <f t="shared" si="35"/>
        <v>0</v>
      </c>
      <c r="J58" s="34" t="b">
        <f>FALSE</f>
        <v>0</v>
      </c>
      <c r="L58" s="34" t="b">
        <f>TRUE</f>
        <v>1</v>
      </c>
      <c r="M58" s="20" t="b">
        <f t="shared" si="36"/>
        <v>1</v>
      </c>
      <c r="N58" s="34" t="b">
        <f>FALSE</f>
        <v>0</v>
      </c>
      <c r="O58" s="20" t="b">
        <f t="shared" si="37"/>
        <v>0</v>
      </c>
      <c r="P58" s="34" t="b">
        <f>FALSE</f>
        <v>0</v>
      </c>
      <c r="R58" s="34" t="b">
        <f>TRUE</f>
        <v>1</v>
      </c>
      <c r="S58" s="20" t="b">
        <f t="shared" si="38"/>
        <v>1</v>
      </c>
      <c r="T58" s="34" t="b">
        <f>FALSE</f>
        <v>0</v>
      </c>
      <c r="U58" s="20" t="b">
        <f t="shared" si="39"/>
        <v>0</v>
      </c>
      <c r="V58" s="34" t="b">
        <f>FALSE</f>
        <v>0</v>
      </c>
    </row>
    <row r="59" spans="1:27" x14ac:dyDescent="0.3">
      <c r="F59" s="34" t="b">
        <f>FALSE</f>
        <v>0</v>
      </c>
      <c r="G59" s="20" t="b">
        <f t="shared" si="34"/>
        <v>1</v>
      </c>
      <c r="H59" s="34" t="b">
        <f>TRUE</f>
        <v>1</v>
      </c>
      <c r="I59" s="20" t="b">
        <f t="shared" si="35"/>
        <v>1</v>
      </c>
      <c r="J59" s="34" t="b">
        <f>TRUE</f>
        <v>1</v>
      </c>
      <c r="L59" s="34" t="b">
        <f>FALSE</f>
        <v>0</v>
      </c>
      <c r="M59" s="20" t="b">
        <f t="shared" si="36"/>
        <v>1</v>
      </c>
      <c r="N59" s="34" t="b">
        <f>TRUE</f>
        <v>1</v>
      </c>
      <c r="O59" s="20" t="b">
        <f t="shared" si="37"/>
        <v>1</v>
      </c>
      <c r="P59" s="34" t="b">
        <f>TRUE</f>
        <v>1</v>
      </c>
      <c r="R59" s="34" t="b">
        <f>FALSE</f>
        <v>0</v>
      </c>
      <c r="S59" s="20" t="b">
        <f t="shared" si="38"/>
        <v>1</v>
      </c>
      <c r="T59" s="34" t="b">
        <f>TRUE</f>
        <v>1</v>
      </c>
      <c r="U59" s="20" t="b">
        <f t="shared" si="39"/>
        <v>1</v>
      </c>
      <c r="V59" s="34" t="b">
        <f>TRUE</f>
        <v>1</v>
      </c>
    </row>
    <row r="60" spans="1:27" x14ac:dyDescent="0.3">
      <c r="F60" s="34" t="b">
        <f>FALSE</f>
        <v>0</v>
      </c>
      <c r="G60" s="20" t="b">
        <f t="shared" si="34"/>
        <v>1</v>
      </c>
      <c r="H60" s="34" t="b">
        <f>TRUE</f>
        <v>1</v>
      </c>
      <c r="I60" s="20" t="b">
        <f t="shared" si="35"/>
        <v>0</v>
      </c>
      <c r="J60" s="34" t="b">
        <f>FALSE</f>
        <v>0</v>
      </c>
      <c r="L60" s="34" t="b">
        <f>FALSE</f>
        <v>0</v>
      </c>
      <c r="M60" s="20" t="b">
        <f t="shared" si="36"/>
        <v>1</v>
      </c>
      <c r="N60" s="34" t="b">
        <f>TRUE</f>
        <v>1</v>
      </c>
      <c r="O60" s="20" t="b">
        <f t="shared" si="37"/>
        <v>0</v>
      </c>
      <c r="P60" s="34" t="b">
        <f>FALSE</f>
        <v>0</v>
      </c>
      <c r="R60" s="34" t="b">
        <f>FALSE</f>
        <v>0</v>
      </c>
      <c r="S60" s="20" t="b">
        <f t="shared" si="38"/>
        <v>1</v>
      </c>
      <c r="T60" s="34" t="b">
        <f>TRUE</f>
        <v>1</v>
      </c>
      <c r="U60" s="20" t="b">
        <f t="shared" si="39"/>
        <v>0</v>
      </c>
      <c r="V60" s="34" t="b">
        <f>FALSE</f>
        <v>0</v>
      </c>
    </row>
    <row r="61" spans="1:27" x14ac:dyDescent="0.3">
      <c r="F61" s="34" t="b">
        <f>FALSE</f>
        <v>0</v>
      </c>
      <c r="G61" s="20" t="b">
        <f t="shared" si="34"/>
        <v>0</v>
      </c>
      <c r="H61" s="34" t="b">
        <f>FALSE</f>
        <v>0</v>
      </c>
      <c r="I61" s="20" t="b">
        <f t="shared" si="35"/>
        <v>0</v>
      </c>
      <c r="J61" s="34" t="b">
        <f>TRUE</f>
        <v>1</v>
      </c>
      <c r="L61" s="34" t="b">
        <f>FALSE</f>
        <v>0</v>
      </c>
      <c r="M61" s="20" t="b">
        <f t="shared" si="36"/>
        <v>0</v>
      </c>
      <c r="N61" s="34" t="b">
        <f>FALSE</f>
        <v>0</v>
      </c>
      <c r="O61" s="20" t="b">
        <f t="shared" si="37"/>
        <v>0</v>
      </c>
      <c r="P61" s="34" t="b">
        <f>TRUE</f>
        <v>1</v>
      </c>
      <c r="R61" s="34" t="b">
        <f>FALSE</f>
        <v>0</v>
      </c>
      <c r="S61" s="20" t="b">
        <f t="shared" si="38"/>
        <v>0</v>
      </c>
      <c r="T61" s="34" t="b">
        <f>FALSE</f>
        <v>0</v>
      </c>
      <c r="U61" s="20" t="b">
        <f t="shared" si="39"/>
        <v>0</v>
      </c>
      <c r="V61" s="34" t="b">
        <f>TRUE</f>
        <v>1</v>
      </c>
    </row>
    <row r="62" spans="1:27" x14ac:dyDescent="0.3">
      <c r="F62" s="34" t="b">
        <f>FALSE</f>
        <v>0</v>
      </c>
      <c r="G62" s="20" t="b">
        <f t="shared" si="34"/>
        <v>0</v>
      </c>
      <c r="H62" s="34" t="b">
        <f>FALSE</f>
        <v>0</v>
      </c>
      <c r="I62" s="20" t="b">
        <f t="shared" si="35"/>
        <v>0</v>
      </c>
      <c r="J62" s="34" t="b">
        <f>FALSE</f>
        <v>0</v>
      </c>
      <c r="L62" s="34" t="b">
        <f>FALSE</f>
        <v>0</v>
      </c>
      <c r="M62" s="20" t="b">
        <f t="shared" si="36"/>
        <v>0</v>
      </c>
      <c r="N62" s="34" t="b">
        <f>FALSE</f>
        <v>0</v>
      </c>
      <c r="O62" s="20" t="b">
        <f t="shared" si="37"/>
        <v>0</v>
      </c>
      <c r="P62" s="34" t="b">
        <f>FALSE</f>
        <v>0</v>
      </c>
      <c r="R62" s="34" t="b">
        <f>FALSE</f>
        <v>0</v>
      </c>
      <c r="S62" s="20" t="b">
        <f t="shared" si="38"/>
        <v>0</v>
      </c>
      <c r="T62" s="34" t="b">
        <f>FALSE</f>
        <v>0</v>
      </c>
      <c r="U62" s="20" t="b">
        <f t="shared" si="39"/>
        <v>0</v>
      </c>
      <c r="V62" s="34" t="b">
        <f>FALSE</f>
        <v>0</v>
      </c>
    </row>
    <row r="63" spans="1:27" x14ac:dyDescent="0.3">
      <c r="I63" s="40" t="str">
        <f>IF(COUNTIF(I55:I62,TRUE)=COUNTA(I55:I62),"TAUTOLOGIA",IF(COUNTIF(I55:I62,FALSE)=COUNTA(I55:I62),"CONTRADICCION","REFUTABLE"))</f>
        <v>REFUTABLE</v>
      </c>
      <c r="O63" s="40" t="str">
        <f>IF(COUNTIF(O55:O62,TRUE)=COUNTA(O55:O62),"TAUTOLOGIA",IF(COUNTIF(O55:O62,FALSE)=COUNTA(O55:O62),"CONTRADICCION","REFUTABLE"))</f>
        <v>REFUTABLE</v>
      </c>
      <c r="U63" s="40" t="str">
        <f>IF(COUNTIF(U55:U62,TRUE)=COUNTA(U55:U62),"TAUTOLOGIA",IF(COUNTIF(U55:U62,FALSE)=COUNTA(U55:U62),"CONTRADICCION","REFUTABLE"))</f>
        <v>REFUTABLE</v>
      </c>
    </row>
    <row r="64" spans="1:27" x14ac:dyDescent="0.3">
      <c r="A64" t="s">
        <v>113</v>
      </c>
    </row>
    <row r="65" spans="1:22" x14ac:dyDescent="0.3">
      <c r="A65" t="s">
        <v>114</v>
      </c>
      <c r="F65" s="34" t="s">
        <v>5</v>
      </c>
      <c r="G65" s="20" t="s">
        <v>6</v>
      </c>
      <c r="H65" s="34" t="s">
        <v>7</v>
      </c>
      <c r="I65" s="20" t="s">
        <v>6</v>
      </c>
      <c r="J65" s="34" t="s">
        <v>57</v>
      </c>
      <c r="L65" s="34" t="s">
        <v>5</v>
      </c>
      <c r="M65" s="20" t="s">
        <v>6</v>
      </c>
      <c r="N65" s="34" t="s">
        <v>7</v>
      </c>
      <c r="O65" s="20" t="s">
        <v>6</v>
      </c>
      <c r="P65" s="34" t="s">
        <v>57</v>
      </c>
      <c r="R65" s="34" t="s">
        <v>5</v>
      </c>
      <c r="S65" s="20" t="s">
        <v>6</v>
      </c>
      <c r="T65" s="34" t="s">
        <v>7</v>
      </c>
      <c r="U65" s="20" t="s">
        <v>6</v>
      </c>
      <c r="V65" s="34" t="s">
        <v>57</v>
      </c>
    </row>
    <row r="66" spans="1:22" x14ac:dyDescent="0.3">
      <c r="A66" t="s">
        <v>115</v>
      </c>
      <c r="F66" s="34" t="b">
        <f>TRUE</f>
        <v>1</v>
      </c>
      <c r="G66" s="20" t="b">
        <f>IF(F66=FALSE,H66,TRUE)</f>
        <v>1</v>
      </c>
      <c r="H66" s="34" t="b">
        <f>TRUE</f>
        <v>1</v>
      </c>
      <c r="I66" s="20" t="b">
        <f>IF(G66=FALSE,J66,TRUE)</f>
        <v>1</v>
      </c>
      <c r="J66" s="34" t="b">
        <f>TRUE</f>
        <v>1</v>
      </c>
      <c r="L66" s="34" t="b">
        <f>TRUE</f>
        <v>1</v>
      </c>
      <c r="M66" s="20" t="b">
        <f>IF(NOT(N66),P66,TRUE)</f>
        <v>1</v>
      </c>
      <c r="N66" s="34" t="b">
        <f>TRUE</f>
        <v>1</v>
      </c>
      <c r="O66" s="20" t="b">
        <f>IF(NOT(M66),P66,TRUE)</f>
        <v>1</v>
      </c>
      <c r="P66" s="34" t="b">
        <f>TRUE</f>
        <v>1</v>
      </c>
      <c r="R66" s="34" t="b">
        <f>TRUE</f>
        <v>1</v>
      </c>
      <c r="S66" s="20" t="b">
        <f>IF(AND(R66=FALSE,T66=FALSE),FALSE,TRUE)</f>
        <v>1</v>
      </c>
      <c r="T66" s="34" t="b">
        <f>TRUE</f>
        <v>1</v>
      </c>
      <c r="U66" s="20" t="b">
        <f>IF(AND(S66=FALSE,V66=FALSE),FALSE,TRUE)</f>
        <v>1</v>
      </c>
      <c r="V66" s="34" t="b">
        <f>TRUE</f>
        <v>1</v>
      </c>
    </row>
    <row r="67" spans="1:22" x14ac:dyDescent="0.3">
      <c r="A67" t="s">
        <v>116</v>
      </c>
      <c r="F67" s="34" t="b">
        <f>TRUE</f>
        <v>1</v>
      </c>
      <c r="G67" s="20" t="b">
        <f t="shared" ref="G67:G73" si="40">IF(F67=FALSE,H67,TRUE)</f>
        <v>1</v>
      </c>
      <c r="H67" s="34" t="b">
        <f>TRUE</f>
        <v>1</v>
      </c>
      <c r="I67" s="20" t="b">
        <f t="shared" ref="I67:I72" si="41">IF(G67=FALSE,J67,TRUE)</f>
        <v>1</v>
      </c>
      <c r="J67" s="34" t="b">
        <f>FALSE</f>
        <v>0</v>
      </c>
      <c r="L67" s="34" t="b">
        <f>TRUE</f>
        <v>1</v>
      </c>
      <c r="M67" s="20" t="b">
        <f t="shared" ref="M67:M73" si="42">IF(NOT(L67),N67,TRUE)</f>
        <v>1</v>
      </c>
      <c r="N67" s="34" t="b">
        <f>TRUE</f>
        <v>1</v>
      </c>
      <c r="O67" s="20" t="b">
        <f t="shared" ref="O67:O73" si="43">IF(NOT(M67),P67,TRUE)</f>
        <v>1</v>
      </c>
      <c r="P67" s="34" t="b">
        <f>FALSE</f>
        <v>0</v>
      </c>
      <c r="R67" s="34" t="b">
        <f>TRUE</f>
        <v>1</v>
      </c>
      <c r="S67" s="20" t="b">
        <f t="shared" ref="S67:S73" si="44">IF(AND(R67=FALSE,T67=FALSE),FALSE,TRUE)</f>
        <v>1</v>
      </c>
      <c r="T67" s="34" t="b">
        <f>TRUE</f>
        <v>1</v>
      </c>
      <c r="U67" s="20" t="b">
        <f t="shared" ref="U67:U73" si="45">IF(AND(S67=FALSE,V67=FALSE),FALSE,TRUE)</f>
        <v>1</v>
      </c>
      <c r="V67" s="34" t="b">
        <f>FALSE</f>
        <v>0</v>
      </c>
    </row>
    <row r="68" spans="1:22" x14ac:dyDescent="0.3">
      <c r="A68" t="s">
        <v>117</v>
      </c>
      <c r="F68" s="34" t="b">
        <f>TRUE</f>
        <v>1</v>
      </c>
      <c r="G68" s="20" t="b">
        <f t="shared" si="40"/>
        <v>1</v>
      </c>
      <c r="H68" s="34" t="b">
        <f>FALSE</f>
        <v>0</v>
      </c>
      <c r="I68" s="20" t="b">
        <f t="shared" si="41"/>
        <v>1</v>
      </c>
      <c r="J68" s="34" t="b">
        <f>TRUE</f>
        <v>1</v>
      </c>
      <c r="L68" s="34" t="b">
        <f>TRUE</f>
        <v>1</v>
      </c>
      <c r="M68" s="20" t="b">
        <f t="shared" si="42"/>
        <v>1</v>
      </c>
      <c r="N68" s="34" t="b">
        <f>FALSE</f>
        <v>0</v>
      </c>
      <c r="O68" s="20" t="b">
        <f t="shared" si="43"/>
        <v>1</v>
      </c>
      <c r="P68" s="34" t="b">
        <f>TRUE</f>
        <v>1</v>
      </c>
      <c r="R68" s="34" t="b">
        <f>TRUE</f>
        <v>1</v>
      </c>
      <c r="S68" s="20" t="b">
        <f t="shared" si="44"/>
        <v>1</v>
      </c>
      <c r="T68" s="34" t="b">
        <f>FALSE</f>
        <v>0</v>
      </c>
      <c r="U68" s="20" t="b">
        <f t="shared" si="45"/>
        <v>1</v>
      </c>
      <c r="V68" s="34" t="b">
        <f>TRUE</f>
        <v>1</v>
      </c>
    </row>
    <row r="69" spans="1:22" x14ac:dyDescent="0.3">
      <c r="F69" s="34" t="b">
        <f>TRUE</f>
        <v>1</v>
      </c>
      <c r="G69" s="20" t="b">
        <f t="shared" si="40"/>
        <v>1</v>
      </c>
      <c r="H69" s="34" t="b">
        <f>FALSE</f>
        <v>0</v>
      </c>
      <c r="I69" s="20" t="b">
        <f t="shared" si="41"/>
        <v>1</v>
      </c>
      <c r="J69" s="34" t="b">
        <f>FALSE</f>
        <v>0</v>
      </c>
      <c r="L69" s="34" t="b">
        <f>TRUE</f>
        <v>1</v>
      </c>
      <c r="M69" s="20" t="b">
        <f t="shared" si="42"/>
        <v>1</v>
      </c>
      <c r="N69" s="34" t="b">
        <f>FALSE</f>
        <v>0</v>
      </c>
      <c r="O69" s="20" t="b">
        <f t="shared" si="43"/>
        <v>1</v>
      </c>
      <c r="P69" s="34" t="b">
        <f>FALSE</f>
        <v>0</v>
      </c>
      <c r="R69" s="34" t="b">
        <f>TRUE</f>
        <v>1</v>
      </c>
      <c r="S69" s="20" t="b">
        <f t="shared" si="44"/>
        <v>1</v>
      </c>
      <c r="T69" s="34" t="b">
        <f>FALSE</f>
        <v>0</v>
      </c>
      <c r="U69" s="20" t="b">
        <f t="shared" si="45"/>
        <v>1</v>
      </c>
      <c r="V69" s="34" t="b">
        <f>FALSE</f>
        <v>0</v>
      </c>
    </row>
    <row r="70" spans="1:22" x14ac:dyDescent="0.3">
      <c r="F70" s="34" t="b">
        <f>FALSE</f>
        <v>0</v>
      </c>
      <c r="G70" s="20" t="b">
        <f t="shared" si="40"/>
        <v>1</v>
      </c>
      <c r="H70" s="34" t="b">
        <f>TRUE</f>
        <v>1</v>
      </c>
      <c r="I70" s="20" t="b">
        <f t="shared" si="41"/>
        <v>1</v>
      </c>
      <c r="J70" s="34" t="b">
        <f>TRUE</f>
        <v>1</v>
      </c>
      <c r="L70" s="34" t="b">
        <f>FALSE</f>
        <v>0</v>
      </c>
      <c r="M70" s="20" t="b">
        <f t="shared" si="42"/>
        <v>1</v>
      </c>
      <c r="N70" s="34" t="b">
        <f>TRUE</f>
        <v>1</v>
      </c>
      <c r="O70" s="20" t="b">
        <f t="shared" si="43"/>
        <v>1</v>
      </c>
      <c r="P70" s="34" t="b">
        <f>TRUE</f>
        <v>1</v>
      </c>
      <c r="R70" s="34" t="b">
        <f>FALSE</f>
        <v>0</v>
      </c>
      <c r="S70" s="20" t="b">
        <f t="shared" si="44"/>
        <v>1</v>
      </c>
      <c r="T70" s="34" t="b">
        <f>TRUE</f>
        <v>1</v>
      </c>
      <c r="U70" s="20" t="b">
        <f t="shared" si="45"/>
        <v>1</v>
      </c>
      <c r="V70" s="34" t="b">
        <f>TRUE</f>
        <v>1</v>
      </c>
    </row>
    <row r="71" spans="1:22" x14ac:dyDescent="0.3">
      <c r="F71" s="34" t="b">
        <f>FALSE</f>
        <v>0</v>
      </c>
      <c r="G71" s="20" t="b">
        <f t="shared" si="40"/>
        <v>1</v>
      </c>
      <c r="H71" s="34" t="b">
        <f>TRUE</f>
        <v>1</v>
      </c>
      <c r="I71" s="20" t="b">
        <f t="shared" si="41"/>
        <v>1</v>
      </c>
      <c r="J71" s="34" t="b">
        <f>FALSE</f>
        <v>0</v>
      </c>
      <c r="L71" s="34" t="b">
        <f>FALSE</f>
        <v>0</v>
      </c>
      <c r="M71" s="20" t="b">
        <f t="shared" si="42"/>
        <v>1</v>
      </c>
      <c r="N71" s="34" t="b">
        <f>TRUE</f>
        <v>1</v>
      </c>
      <c r="O71" s="20" t="b">
        <f t="shared" si="43"/>
        <v>1</v>
      </c>
      <c r="P71" s="34" t="b">
        <f>FALSE</f>
        <v>0</v>
      </c>
      <c r="R71" s="34" t="b">
        <f>FALSE</f>
        <v>0</v>
      </c>
      <c r="S71" s="20" t="b">
        <f t="shared" si="44"/>
        <v>1</v>
      </c>
      <c r="T71" s="34" t="b">
        <f>TRUE</f>
        <v>1</v>
      </c>
      <c r="U71" s="20" t="b">
        <f t="shared" si="45"/>
        <v>1</v>
      </c>
      <c r="V71" s="34" t="b">
        <f>FALSE</f>
        <v>0</v>
      </c>
    </row>
    <row r="72" spans="1:22" x14ac:dyDescent="0.3">
      <c r="F72" s="34" t="b">
        <f>FALSE</f>
        <v>0</v>
      </c>
      <c r="G72" s="20" t="b">
        <f t="shared" si="40"/>
        <v>0</v>
      </c>
      <c r="H72" s="34" t="b">
        <f>FALSE</f>
        <v>0</v>
      </c>
      <c r="I72" s="20" t="b">
        <f t="shared" si="41"/>
        <v>1</v>
      </c>
      <c r="J72" s="34" t="b">
        <f>TRUE</f>
        <v>1</v>
      </c>
      <c r="L72" s="34" t="b">
        <f>FALSE</f>
        <v>0</v>
      </c>
      <c r="M72" s="20" t="b">
        <f t="shared" si="42"/>
        <v>0</v>
      </c>
      <c r="N72" s="34" t="b">
        <f>FALSE</f>
        <v>0</v>
      </c>
      <c r="O72" s="20" t="b">
        <f t="shared" si="43"/>
        <v>1</v>
      </c>
      <c r="P72" s="34" t="b">
        <f>TRUE</f>
        <v>1</v>
      </c>
      <c r="R72" s="34" t="b">
        <f>FALSE</f>
        <v>0</v>
      </c>
      <c r="S72" s="20" t="b">
        <f t="shared" si="44"/>
        <v>0</v>
      </c>
      <c r="T72" s="34" t="b">
        <f>FALSE</f>
        <v>0</v>
      </c>
      <c r="U72" s="20" t="b">
        <f t="shared" si="45"/>
        <v>1</v>
      </c>
      <c r="V72" s="34" t="b">
        <f>TRUE</f>
        <v>1</v>
      </c>
    </row>
    <row r="73" spans="1:22" x14ac:dyDescent="0.3">
      <c r="F73" s="34" t="b">
        <f>FALSE</f>
        <v>0</v>
      </c>
      <c r="G73" s="20" t="b">
        <f t="shared" si="40"/>
        <v>0</v>
      </c>
      <c r="H73" s="34" t="b">
        <f>FALSE</f>
        <v>0</v>
      </c>
      <c r="I73" s="20" t="b">
        <f t="shared" ref="I73" si="46">IF(H73=FALSE,J73,TRUE)</f>
        <v>0</v>
      </c>
      <c r="J73" s="34" t="b">
        <f>FALSE</f>
        <v>0</v>
      </c>
      <c r="L73" s="34" t="b">
        <f>FALSE</f>
        <v>0</v>
      </c>
      <c r="M73" s="20" t="b">
        <f t="shared" si="42"/>
        <v>0</v>
      </c>
      <c r="N73" s="34" t="b">
        <f>FALSE</f>
        <v>0</v>
      </c>
      <c r="O73" s="20" t="b">
        <f t="shared" si="43"/>
        <v>0</v>
      </c>
      <c r="P73" s="34" t="b">
        <f>FALSE</f>
        <v>0</v>
      </c>
      <c r="R73" s="34" t="b">
        <f>FALSE</f>
        <v>0</v>
      </c>
      <c r="S73" s="20" t="b">
        <f t="shared" si="44"/>
        <v>0</v>
      </c>
      <c r="T73" s="34" t="b">
        <f>FALSE</f>
        <v>0</v>
      </c>
      <c r="U73" s="20" t="b">
        <f t="shared" si="45"/>
        <v>0</v>
      </c>
      <c r="V73" s="34" t="b">
        <f>FALSE</f>
        <v>0</v>
      </c>
    </row>
    <row r="74" spans="1:22" x14ac:dyDescent="0.3">
      <c r="I74" s="40" t="str">
        <f>IF(COUNTIF(I66:I73,TRUE)=COUNTA(I66:I73),"TAUTOLOGIA",IF(COUNTIF(I66:I73,FALSE)=COUNTA(I66:I73),"CONTRADICCION","REFUTABLE"))</f>
        <v>REFUTABLE</v>
      </c>
      <c r="O74" s="40" t="str">
        <f>IF(COUNTIF(O66:O73,TRUE)=COUNTA(O66:O73),"TAUTOLOGIA",IF(COUNTIF(O66:O73,FALSE)=COUNTA(O66:O73),"CONTRADICCION","REFUTABLE"))</f>
        <v>REFUTABLE</v>
      </c>
      <c r="U74" s="40" t="str">
        <f>IF(COUNTIF(U66:U73,TRUE)=COUNTA(U66:U73),"TAUTOLOGIA",IF(COUNTIF(U66:U73,FALSE)=COUNTA(U66:U73),"CONTRADICCION","REFUTABLE"))</f>
        <v>REFUTABLE</v>
      </c>
    </row>
    <row r="75" spans="1:22" x14ac:dyDescent="0.3">
      <c r="A75" t="s">
        <v>118</v>
      </c>
    </row>
    <row r="76" spans="1:22" x14ac:dyDescent="0.3">
      <c r="A76" t="s">
        <v>119</v>
      </c>
      <c r="F76" s="34" t="s">
        <v>5</v>
      </c>
      <c r="G76" s="20" t="s">
        <v>34</v>
      </c>
      <c r="H76" s="34" t="s">
        <v>7</v>
      </c>
      <c r="I76" s="20" t="s">
        <v>120</v>
      </c>
      <c r="J76" s="34" t="s">
        <v>57</v>
      </c>
      <c r="L76" s="34" t="s">
        <v>5</v>
      </c>
      <c r="M76" s="20" t="s">
        <v>34</v>
      </c>
      <c r="N76" s="34" t="s">
        <v>7</v>
      </c>
      <c r="O76" s="20" t="s">
        <v>120</v>
      </c>
      <c r="P76" s="34" t="s">
        <v>57</v>
      </c>
      <c r="R76" s="34" t="s">
        <v>5</v>
      </c>
      <c r="S76" s="20" t="s">
        <v>34</v>
      </c>
      <c r="T76" s="34" t="s">
        <v>7</v>
      </c>
      <c r="U76" s="20" t="s">
        <v>120</v>
      </c>
      <c r="V76" s="34" t="s">
        <v>57</v>
      </c>
    </row>
    <row r="77" spans="1:22" x14ac:dyDescent="0.3">
      <c r="A77" t="s">
        <v>121</v>
      </c>
      <c r="F77" s="34" t="b">
        <f>TRUE</f>
        <v>1</v>
      </c>
      <c r="G77" s="20" t="b">
        <f>IF(F77,H77,TRUE)</f>
        <v>1</v>
      </c>
      <c r="H77" s="34" t="b">
        <f>TRUE</f>
        <v>1</v>
      </c>
      <c r="I77" s="20" t="b">
        <f>IF(H77=J77,TRUE,FALSE)</f>
        <v>1</v>
      </c>
      <c r="J77" s="34" t="b">
        <f>TRUE</f>
        <v>1</v>
      </c>
      <c r="L77" s="34" t="b">
        <f>TRUE</f>
        <v>1</v>
      </c>
      <c r="M77" s="20" t="b">
        <f>IF(L77=FALSE,TRUE,N77)</f>
        <v>1</v>
      </c>
      <c r="N77" s="34" t="b">
        <f>TRUE</f>
        <v>1</v>
      </c>
      <c r="O77" s="20" t="b">
        <f>IF(N77&lt;&gt;P77,FALSE,TRUE)</f>
        <v>1</v>
      </c>
      <c r="P77" s="34" t="b">
        <f>TRUE</f>
        <v>1</v>
      </c>
      <c r="R77" s="34" t="b">
        <f>TRUE</f>
        <v>1</v>
      </c>
      <c r="S77" s="20" t="b">
        <f>IF(AND(R77,T77=FALSE),FALSE,TRUE)</f>
        <v>1</v>
      </c>
      <c r="T77" s="34" t="b">
        <f>TRUE</f>
        <v>1</v>
      </c>
      <c r="U77" s="20" t="b">
        <f>EXACT(T77,V77)</f>
        <v>1</v>
      </c>
      <c r="V77" s="34" t="b">
        <f>TRUE</f>
        <v>1</v>
      </c>
    </row>
    <row r="78" spans="1:22" x14ac:dyDescent="0.3">
      <c r="A78" t="s">
        <v>122</v>
      </c>
      <c r="F78" s="34" t="b">
        <f>TRUE</f>
        <v>1</v>
      </c>
      <c r="G78" s="20" t="b">
        <f t="shared" ref="G78:G84" si="47">IF(F78,H78,TRUE)</f>
        <v>1</v>
      </c>
      <c r="H78" s="34" t="b">
        <f>TRUE</f>
        <v>1</v>
      </c>
      <c r="I78" s="20" t="b">
        <f t="shared" ref="I78:I84" si="48">IF(H78=J78,TRUE,FALSE)</f>
        <v>0</v>
      </c>
      <c r="J78" s="34" t="b">
        <f>FALSE</f>
        <v>0</v>
      </c>
      <c r="L78" s="34" t="b">
        <f>TRUE</f>
        <v>1</v>
      </c>
      <c r="M78" s="20" t="b">
        <f t="shared" ref="M78:M84" si="49">IF(L78=FALSE,TRUE,N78)</f>
        <v>1</v>
      </c>
      <c r="N78" s="34" t="b">
        <f>TRUE</f>
        <v>1</v>
      </c>
      <c r="O78" s="20" t="b">
        <f t="shared" ref="O78:O84" si="50">IF(N78&lt;&gt;P78,FALSE,TRUE)</f>
        <v>0</v>
      </c>
      <c r="P78" s="34" t="b">
        <f>FALSE</f>
        <v>0</v>
      </c>
      <c r="R78" s="34" t="b">
        <f>TRUE</f>
        <v>1</v>
      </c>
      <c r="S78" s="20" t="b">
        <f t="shared" ref="S78:S84" si="51">IF(AND(R78,T78=FALSE),FALSE,TRUE)</f>
        <v>1</v>
      </c>
      <c r="T78" s="34" t="b">
        <f>TRUE</f>
        <v>1</v>
      </c>
      <c r="U78" s="20" t="b">
        <f t="shared" ref="U78:U84" si="52">EXACT(T78,V78)</f>
        <v>0</v>
      </c>
      <c r="V78" s="34" t="b">
        <f>FALSE</f>
        <v>0</v>
      </c>
    </row>
    <row r="79" spans="1:22" x14ac:dyDescent="0.3">
      <c r="A79" t="s">
        <v>123</v>
      </c>
      <c r="F79" s="34" t="b">
        <f>TRUE</f>
        <v>1</v>
      </c>
      <c r="G79" s="20" t="b">
        <f t="shared" si="47"/>
        <v>0</v>
      </c>
      <c r="H79" s="34" t="b">
        <f>FALSE</f>
        <v>0</v>
      </c>
      <c r="I79" s="20" t="b">
        <f t="shared" si="48"/>
        <v>0</v>
      </c>
      <c r="J79" s="34" t="b">
        <f>TRUE</f>
        <v>1</v>
      </c>
      <c r="L79" s="34" t="b">
        <f>TRUE</f>
        <v>1</v>
      </c>
      <c r="M79" s="20" t="b">
        <f t="shared" si="49"/>
        <v>0</v>
      </c>
      <c r="N79" s="34" t="b">
        <f>FALSE</f>
        <v>0</v>
      </c>
      <c r="O79" s="20" t="b">
        <f t="shared" si="50"/>
        <v>0</v>
      </c>
      <c r="P79" s="34" t="b">
        <f>TRUE</f>
        <v>1</v>
      </c>
      <c r="R79" s="34" t="b">
        <f>TRUE</f>
        <v>1</v>
      </c>
      <c r="S79" s="20" t="b">
        <f t="shared" si="51"/>
        <v>0</v>
      </c>
      <c r="T79" s="34" t="b">
        <f>FALSE</f>
        <v>0</v>
      </c>
      <c r="U79" s="20" t="b">
        <f t="shared" si="52"/>
        <v>0</v>
      </c>
      <c r="V79" s="34" t="b">
        <f>TRUE</f>
        <v>1</v>
      </c>
    </row>
    <row r="80" spans="1:22" x14ac:dyDescent="0.3">
      <c r="F80" s="34" t="b">
        <f>TRUE</f>
        <v>1</v>
      </c>
      <c r="G80" s="20" t="b">
        <f t="shared" si="47"/>
        <v>0</v>
      </c>
      <c r="H80" s="34" t="b">
        <f>FALSE</f>
        <v>0</v>
      </c>
      <c r="I80" s="20" t="b">
        <f t="shared" si="48"/>
        <v>1</v>
      </c>
      <c r="J80" s="34" t="b">
        <f>FALSE</f>
        <v>0</v>
      </c>
      <c r="L80" s="34" t="b">
        <f>TRUE</f>
        <v>1</v>
      </c>
      <c r="M80" s="20" t="b">
        <f t="shared" si="49"/>
        <v>0</v>
      </c>
      <c r="N80" s="34" t="b">
        <f>FALSE</f>
        <v>0</v>
      </c>
      <c r="O80" s="20" t="b">
        <f t="shared" si="50"/>
        <v>1</v>
      </c>
      <c r="P80" s="34" t="b">
        <f>FALSE</f>
        <v>0</v>
      </c>
      <c r="R80" s="34" t="b">
        <f>TRUE</f>
        <v>1</v>
      </c>
      <c r="S80" s="20" t="b">
        <f t="shared" si="51"/>
        <v>0</v>
      </c>
      <c r="T80" s="34" t="b">
        <f>FALSE</f>
        <v>0</v>
      </c>
      <c r="U80" s="20" t="b">
        <f t="shared" si="52"/>
        <v>1</v>
      </c>
      <c r="V80" s="34" t="b">
        <f>FALSE</f>
        <v>0</v>
      </c>
    </row>
    <row r="81" spans="1:24" x14ac:dyDescent="0.3">
      <c r="F81" s="34" t="b">
        <f>FALSE</f>
        <v>0</v>
      </c>
      <c r="G81" s="20" t="b">
        <f t="shared" si="47"/>
        <v>1</v>
      </c>
      <c r="H81" s="34" t="b">
        <f>TRUE</f>
        <v>1</v>
      </c>
      <c r="I81" s="20" t="b">
        <f t="shared" si="48"/>
        <v>1</v>
      </c>
      <c r="J81" s="34" t="b">
        <f>TRUE</f>
        <v>1</v>
      </c>
      <c r="L81" s="34" t="b">
        <f>FALSE</f>
        <v>0</v>
      </c>
      <c r="M81" s="20" t="b">
        <f t="shared" si="49"/>
        <v>1</v>
      </c>
      <c r="N81" s="34" t="b">
        <f>TRUE</f>
        <v>1</v>
      </c>
      <c r="O81" s="20" t="b">
        <f t="shared" si="50"/>
        <v>1</v>
      </c>
      <c r="P81" s="34" t="b">
        <f>TRUE</f>
        <v>1</v>
      </c>
      <c r="R81" s="34" t="b">
        <f>FALSE</f>
        <v>0</v>
      </c>
      <c r="S81" s="20" t="b">
        <f t="shared" si="51"/>
        <v>1</v>
      </c>
      <c r="T81" s="34" t="b">
        <f>TRUE</f>
        <v>1</v>
      </c>
      <c r="U81" s="20" t="b">
        <f t="shared" si="52"/>
        <v>1</v>
      </c>
      <c r="V81" s="34" t="b">
        <f>TRUE</f>
        <v>1</v>
      </c>
    </row>
    <row r="82" spans="1:24" x14ac:dyDescent="0.3">
      <c r="F82" s="34" t="b">
        <f>FALSE</f>
        <v>0</v>
      </c>
      <c r="G82" s="20" t="b">
        <f t="shared" si="47"/>
        <v>1</v>
      </c>
      <c r="H82" s="34" t="b">
        <f>TRUE</f>
        <v>1</v>
      </c>
      <c r="I82" s="20" t="b">
        <f t="shared" si="48"/>
        <v>0</v>
      </c>
      <c r="J82" s="34" t="b">
        <f>FALSE</f>
        <v>0</v>
      </c>
      <c r="L82" s="34" t="b">
        <f>FALSE</f>
        <v>0</v>
      </c>
      <c r="M82" s="20" t="b">
        <f t="shared" si="49"/>
        <v>1</v>
      </c>
      <c r="N82" s="34" t="b">
        <f>TRUE</f>
        <v>1</v>
      </c>
      <c r="O82" s="20" t="b">
        <f t="shared" si="50"/>
        <v>0</v>
      </c>
      <c r="P82" s="34" t="b">
        <f>FALSE</f>
        <v>0</v>
      </c>
      <c r="R82" s="34" t="b">
        <f>FALSE</f>
        <v>0</v>
      </c>
      <c r="S82" s="20" t="b">
        <f t="shared" si="51"/>
        <v>1</v>
      </c>
      <c r="T82" s="34" t="b">
        <f>TRUE</f>
        <v>1</v>
      </c>
      <c r="U82" s="20" t="b">
        <f t="shared" si="52"/>
        <v>0</v>
      </c>
      <c r="V82" s="34" t="b">
        <f>FALSE</f>
        <v>0</v>
      </c>
    </row>
    <row r="83" spans="1:24" x14ac:dyDescent="0.3">
      <c r="F83" s="34" t="b">
        <f>FALSE</f>
        <v>0</v>
      </c>
      <c r="G83" s="20" t="b">
        <f t="shared" si="47"/>
        <v>1</v>
      </c>
      <c r="H83" s="34" t="b">
        <f>FALSE</f>
        <v>0</v>
      </c>
      <c r="I83" s="20" t="b">
        <f t="shared" si="48"/>
        <v>0</v>
      </c>
      <c r="J83" s="34" t="b">
        <f>TRUE</f>
        <v>1</v>
      </c>
      <c r="L83" s="34" t="b">
        <f>FALSE</f>
        <v>0</v>
      </c>
      <c r="M83" s="20" t="b">
        <f t="shared" si="49"/>
        <v>1</v>
      </c>
      <c r="N83" s="34" t="b">
        <f>FALSE</f>
        <v>0</v>
      </c>
      <c r="O83" s="20" t="b">
        <f t="shared" si="50"/>
        <v>0</v>
      </c>
      <c r="P83" s="34" t="b">
        <f>TRUE</f>
        <v>1</v>
      </c>
      <c r="R83" s="34" t="b">
        <f>FALSE</f>
        <v>0</v>
      </c>
      <c r="S83" s="20" t="b">
        <f t="shared" si="51"/>
        <v>1</v>
      </c>
      <c r="T83" s="34" t="b">
        <f>FALSE</f>
        <v>0</v>
      </c>
      <c r="U83" s="20" t="b">
        <f t="shared" si="52"/>
        <v>0</v>
      </c>
      <c r="V83" s="34" t="b">
        <f>TRUE</f>
        <v>1</v>
      </c>
    </row>
    <row r="84" spans="1:24" x14ac:dyDescent="0.3">
      <c r="F84" s="34" t="b">
        <f>FALSE</f>
        <v>0</v>
      </c>
      <c r="G84" s="20" t="b">
        <f t="shared" si="47"/>
        <v>1</v>
      </c>
      <c r="H84" s="34" t="b">
        <f>FALSE</f>
        <v>0</v>
      </c>
      <c r="I84" s="20" t="b">
        <f t="shared" si="48"/>
        <v>1</v>
      </c>
      <c r="J84" s="34" t="b">
        <f>FALSE</f>
        <v>0</v>
      </c>
      <c r="L84" s="34" t="b">
        <f>FALSE</f>
        <v>0</v>
      </c>
      <c r="M84" s="20" t="b">
        <f t="shared" si="49"/>
        <v>1</v>
      </c>
      <c r="N84" s="34" t="b">
        <f>FALSE</f>
        <v>0</v>
      </c>
      <c r="O84" s="20" t="b">
        <f t="shared" si="50"/>
        <v>1</v>
      </c>
      <c r="P84" s="34" t="b">
        <f>FALSE</f>
        <v>0</v>
      </c>
      <c r="R84" s="34" t="b">
        <f>FALSE</f>
        <v>0</v>
      </c>
      <c r="S84" s="20" t="b">
        <f t="shared" si="51"/>
        <v>1</v>
      </c>
      <c r="T84" s="34" t="b">
        <f>FALSE</f>
        <v>0</v>
      </c>
      <c r="U84" s="20" t="b">
        <f t="shared" si="52"/>
        <v>1</v>
      </c>
      <c r="V84" s="34" t="b">
        <f>FALSE</f>
        <v>0</v>
      </c>
    </row>
    <row r="85" spans="1:24" x14ac:dyDescent="0.3">
      <c r="I85" s="40" t="str">
        <f>IF(COUNTIF(I77:I84,TRUE)=COUNTA(I77:I84),"TAUTOLOGIA",IF(COUNTIF(I77:I84,FALSE)=COUNTA(I77:I84),"CONTRADICCION","REFUTABLE"))</f>
        <v>REFUTABLE</v>
      </c>
      <c r="O85" s="40" t="str">
        <f>IF(COUNTIF(O77:O84,TRUE)=COUNTA(O77:O84),"TAUTOLOGIA",IF(COUNTIF(O77:O84,FALSE)=COUNTA(O77:O84),"CONTRADICCION","REFUTABLE"))</f>
        <v>REFUTABLE</v>
      </c>
      <c r="U85" s="40" t="str">
        <f>IF(COUNTIF(U77:U84,TRUE)=COUNTA(U77:U84),"TAUTOLOGIA",IF(COUNTIF(U77:U84,FALSE)=COUNTA(U77:U84),"CONTRADICCION","REFUTABLE"))</f>
        <v>REFUTABLE</v>
      </c>
    </row>
    <row r="86" spans="1:24" x14ac:dyDescent="0.3">
      <c r="A86" t="s">
        <v>124</v>
      </c>
    </row>
    <row r="87" spans="1:24" x14ac:dyDescent="0.3">
      <c r="A87" t="s">
        <v>125</v>
      </c>
      <c r="H87" s="34" t="s">
        <v>5</v>
      </c>
      <c r="I87" s="20" t="s">
        <v>10</v>
      </c>
      <c r="J87" s="34" t="s">
        <v>7</v>
      </c>
      <c r="K87" s="20" t="s">
        <v>34</v>
      </c>
      <c r="L87" s="34" t="s">
        <v>57</v>
      </c>
      <c r="N87" s="34" t="s">
        <v>5</v>
      </c>
      <c r="O87" s="20" t="s">
        <v>10</v>
      </c>
      <c r="P87" s="34" t="s">
        <v>7</v>
      </c>
      <c r="Q87" s="20" t="s">
        <v>34</v>
      </c>
      <c r="R87" s="34" t="s">
        <v>57</v>
      </c>
      <c r="T87" s="34" t="s">
        <v>5</v>
      </c>
      <c r="U87" s="20" t="s">
        <v>10</v>
      </c>
      <c r="V87" s="34" t="s">
        <v>7</v>
      </c>
      <c r="W87" s="20" t="s">
        <v>34</v>
      </c>
      <c r="X87" s="34" t="s">
        <v>57</v>
      </c>
    </row>
    <row r="88" spans="1:24" x14ac:dyDescent="0.3">
      <c r="A88" t="s">
        <v>126</v>
      </c>
      <c r="H88" s="34" t="b">
        <f>TRUE</f>
        <v>1</v>
      </c>
      <c r="I88" s="20" t="b">
        <f>IF(H88,J88,FALSE)</f>
        <v>1</v>
      </c>
      <c r="J88" s="34" t="b">
        <f>TRUE</f>
        <v>1</v>
      </c>
      <c r="K88" s="20" t="b">
        <f>IF(J88,L88,TRUE)</f>
        <v>1</v>
      </c>
      <c r="L88" s="34" t="b">
        <f>TRUE</f>
        <v>1</v>
      </c>
      <c r="N88" s="34" t="b">
        <f>TRUE</f>
        <v>1</v>
      </c>
      <c r="O88" s="20" t="b">
        <f>IF(N88=FALSE,FALSE,P88)</f>
        <v>1</v>
      </c>
      <c r="P88" s="34" t="b">
        <f>TRUE</f>
        <v>1</v>
      </c>
      <c r="Q88" s="20" t="b">
        <f>IF(P88=FALSE,TRUE,R88)</f>
        <v>1</v>
      </c>
      <c r="R88" s="34" t="b">
        <f>TRUE</f>
        <v>1</v>
      </c>
      <c r="T88" s="34" t="b">
        <f>TRUE</f>
        <v>1</v>
      </c>
      <c r="U88" s="20" t="b">
        <f>IF(OR(T88=FALSE,V88=FALSE),FALSE,TRUE)</f>
        <v>1</v>
      </c>
      <c r="V88" s="34" t="b">
        <f>TRUE</f>
        <v>1</v>
      </c>
      <c r="W88" s="20" t="b">
        <f>IF(AND(V88,X88=FALSE),FALSE,TRUE)</f>
        <v>1</v>
      </c>
      <c r="X88" s="34" t="b">
        <f>TRUE</f>
        <v>1</v>
      </c>
    </row>
    <row r="89" spans="1:24" x14ac:dyDescent="0.3">
      <c r="A89" t="s">
        <v>127</v>
      </c>
      <c r="H89" s="34" t="b">
        <f>TRUE</f>
        <v>1</v>
      </c>
      <c r="I89" s="20" t="b">
        <f t="shared" ref="I89:I95" si="53">IF(H89,J89,FALSE)</f>
        <v>1</v>
      </c>
      <c r="J89" s="34" t="b">
        <f>TRUE</f>
        <v>1</v>
      </c>
      <c r="K89" s="20" t="b">
        <f t="shared" ref="K89:K95" si="54">IF(J89,L89,TRUE)</f>
        <v>0</v>
      </c>
      <c r="L89" s="34" t="b">
        <f>FALSE</f>
        <v>0</v>
      </c>
      <c r="N89" s="34" t="b">
        <f>TRUE</f>
        <v>1</v>
      </c>
      <c r="O89" s="20" t="b">
        <f t="shared" ref="O89:O95" si="55">IF(N89=FALSE,FALSE,P89)</f>
        <v>1</v>
      </c>
      <c r="P89" s="34" t="b">
        <f>TRUE</f>
        <v>1</v>
      </c>
      <c r="Q89" s="20" t="b">
        <f t="shared" ref="Q89:Q95" si="56">IF(P89=FALSE,TRUE,R89)</f>
        <v>0</v>
      </c>
      <c r="R89" s="34" t="b">
        <f>FALSE</f>
        <v>0</v>
      </c>
      <c r="T89" s="34" t="b">
        <f>TRUE</f>
        <v>1</v>
      </c>
      <c r="U89" s="20" t="b">
        <f t="shared" ref="U89:U95" si="57">IF(OR(T89=FALSE,V89=FALSE),FALSE,TRUE)</f>
        <v>1</v>
      </c>
      <c r="V89" s="34" t="b">
        <f>TRUE</f>
        <v>1</v>
      </c>
      <c r="W89" s="20" t="b">
        <f t="shared" ref="W89:W95" si="58">IF(AND(V89,X89=FALSE),FALSE,TRUE)</f>
        <v>0</v>
      </c>
      <c r="X89" s="34" t="b">
        <f>FALSE</f>
        <v>0</v>
      </c>
    </row>
    <row r="90" spans="1:24" x14ac:dyDescent="0.3">
      <c r="A90" t="s">
        <v>128</v>
      </c>
      <c r="H90" s="34" t="b">
        <f>TRUE</f>
        <v>1</v>
      </c>
      <c r="I90" s="20" t="b">
        <f t="shared" si="53"/>
        <v>0</v>
      </c>
      <c r="J90" s="34" t="b">
        <f>FALSE</f>
        <v>0</v>
      </c>
      <c r="K90" s="20" t="b">
        <f t="shared" si="54"/>
        <v>1</v>
      </c>
      <c r="L90" s="34" t="b">
        <f>TRUE</f>
        <v>1</v>
      </c>
      <c r="N90" s="34" t="b">
        <f>TRUE</f>
        <v>1</v>
      </c>
      <c r="O90" s="20" t="b">
        <f t="shared" si="55"/>
        <v>0</v>
      </c>
      <c r="P90" s="34" t="b">
        <f>FALSE</f>
        <v>0</v>
      </c>
      <c r="Q90" s="20" t="b">
        <f t="shared" si="56"/>
        <v>1</v>
      </c>
      <c r="R90" s="34" t="b">
        <f>TRUE</f>
        <v>1</v>
      </c>
      <c r="T90" s="34" t="b">
        <f>TRUE</f>
        <v>1</v>
      </c>
      <c r="U90" s="20" t="b">
        <f t="shared" si="57"/>
        <v>0</v>
      </c>
      <c r="V90" s="34" t="b">
        <f>FALSE</f>
        <v>0</v>
      </c>
      <c r="W90" s="20" t="b">
        <f t="shared" si="58"/>
        <v>1</v>
      </c>
      <c r="X90" s="34" t="b">
        <f>TRUE</f>
        <v>1</v>
      </c>
    </row>
    <row r="91" spans="1:24" x14ac:dyDescent="0.3">
      <c r="A91" t="s">
        <v>129</v>
      </c>
      <c r="H91" s="34" t="b">
        <f>TRUE</f>
        <v>1</v>
      </c>
      <c r="I91" s="20" t="b">
        <f t="shared" si="53"/>
        <v>0</v>
      </c>
      <c r="J91" s="34" t="b">
        <f>FALSE</f>
        <v>0</v>
      </c>
      <c r="K91" s="20" t="b">
        <f t="shared" si="54"/>
        <v>1</v>
      </c>
      <c r="L91" s="34" t="b">
        <f>FALSE</f>
        <v>0</v>
      </c>
      <c r="N91" s="34" t="b">
        <f>TRUE</f>
        <v>1</v>
      </c>
      <c r="O91" s="20" t="b">
        <f t="shared" si="55"/>
        <v>0</v>
      </c>
      <c r="P91" s="34" t="b">
        <f>FALSE</f>
        <v>0</v>
      </c>
      <c r="Q91" s="20" t="b">
        <f t="shared" si="56"/>
        <v>1</v>
      </c>
      <c r="R91" s="34" t="b">
        <f>FALSE</f>
        <v>0</v>
      </c>
      <c r="T91" s="34" t="b">
        <f>TRUE</f>
        <v>1</v>
      </c>
      <c r="U91" s="20" t="b">
        <f t="shared" si="57"/>
        <v>0</v>
      </c>
      <c r="V91" s="34" t="b">
        <f>FALSE</f>
        <v>0</v>
      </c>
      <c r="W91" s="20" t="b">
        <f t="shared" si="58"/>
        <v>1</v>
      </c>
      <c r="X91" s="34" t="b">
        <f>FALSE</f>
        <v>0</v>
      </c>
    </row>
    <row r="92" spans="1:24" x14ac:dyDescent="0.3">
      <c r="H92" s="34" t="b">
        <f>FALSE</f>
        <v>0</v>
      </c>
      <c r="I92" s="20" t="b">
        <f t="shared" si="53"/>
        <v>0</v>
      </c>
      <c r="J92" s="34" t="b">
        <f>TRUE</f>
        <v>1</v>
      </c>
      <c r="K92" s="20" t="b">
        <f t="shared" si="54"/>
        <v>1</v>
      </c>
      <c r="L92" s="34" t="b">
        <f>TRUE</f>
        <v>1</v>
      </c>
      <c r="N92" s="34" t="b">
        <f>FALSE</f>
        <v>0</v>
      </c>
      <c r="O92" s="20" t="b">
        <f t="shared" si="55"/>
        <v>0</v>
      </c>
      <c r="P92" s="34" t="b">
        <f>TRUE</f>
        <v>1</v>
      </c>
      <c r="Q92" s="20" t="b">
        <f t="shared" si="56"/>
        <v>1</v>
      </c>
      <c r="R92" s="34" t="b">
        <f>TRUE</f>
        <v>1</v>
      </c>
      <c r="T92" s="34" t="b">
        <f>FALSE</f>
        <v>0</v>
      </c>
      <c r="U92" s="20" t="b">
        <f t="shared" si="57"/>
        <v>0</v>
      </c>
      <c r="V92" s="34" t="b">
        <f>TRUE</f>
        <v>1</v>
      </c>
      <c r="W92" s="20" t="b">
        <f t="shared" si="58"/>
        <v>1</v>
      </c>
      <c r="X92" s="34" t="b">
        <f>TRUE</f>
        <v>1</v>
      </c>
    </row>
    <row r="93" spans="1:24" x14ac:dyDescent="0.3">
      <c r="H93" s="34" t="b">
        <f>FALSE</f>
        <v>0</v>
      </c>
      <c r="I93" s="20" t="b">
        <f t="shared" si="53"/>
        <v>0</v>
      </c>
      <c r="J93" s="34" t="b">
        <f>TRUE</f>
        <v>1</v>
      </c>
      <c r="K93" s="20" t="b">
        <f t="shared" si="54"/>
        <v>0</v>
      </c>
      <c r="L93" s="34" t="b">
        <f>FALSE</f>
        <v>0</v>
      </c>
      <c r="N93" s="34" t="b">
        <f>FALSE</f>
        <v>0</v>
      </c>
      <c r="O93" s="20" t="b">
        <f t="shared" si="55"/>
        <v>0</v>
      </c>
      <c r="P93" s="34" t="b">
        <f>TRUE</f>
        <v>1</v>
      </c>
      <c r="Q93" s="20" t="b">
        <f t="shared" si="56"/>
        <v>0</v>
      </c>
      <c r="R93" s="34" t="b">
        <f>FALSE</f>
        <v>0</v>
      </c>
      <c r="T93" s="34" t="b">
        <f>FALSE</f>
        <v>0</v>
      </c>
      <c r="U93" s="20" t="b">
        <f t="shared" si="57"/>
        <v>0</v>
      </c>
      <c r="V93" s="34" t="b">
        <f>TRUE</f>
        <v>1</v>
      </c>
      <c r="W93" s="20" t="b">
        <f t="shared" si="58"/>
        <v>0</v>
      </c>
      <c r="X93" s="34" t="b">
        <f>FALSE</f>
        <v>0</v>
      </c>
    </row>
    <row r="94" spans="1:24" x14ac:dyDescent="0.3">
      <c r="H94" s="34" t="b">
        <f>FALSE</f>
        <v>0</v>
      </c>
      <c r="I94" s="20" t="b">
        <f t="shared" si="53"/>
        <v>0</v>
      </c>
      <c r="J94" s="34" t="b">
        <f>FALSE</f>
        <v>0</v>
      </c>
      <c r="K94" s="20" t="b">
        <f t="shared" si="54"/>
        <v>1</v>
      </c>
      <c r="L94" s="34" t="b">
        <f>TRUE</f>
        <v>1</v>
      </c>
      <c r="N94" s="34" t="b">
        <f>FALSE</f>
        <v>0</v>
      </c>
      <c r="O94" s="20" t="b">
        <f t="shared" si="55"/>
        <v>0</v>
      </c>
      <c r="P94" s="34" t="b">
        <f>FALSE</f>
        <v>0</v>
      </c>
      <c r="Q94" s="20" t="b">
        <f t="shared" si="56"/>
        <v>1</v>
      </c>
      <c r="R94" s="34" t="b">
        <f>TRUE</f>
        <v>1</v>
      </c>
      <c r="T94" s="34" t="b">
        <f>FALSE</f>
        <v>0</v>
      </c>
      <c r="U94" s="20" t="b">
        <f t="shared" si="57"/>
        <v>0</v>
      </c>
      <c r="V94" s="34" t="b">
        <f>FALSE</f>
        <v>0</v>
      </c>
      <c r="W94" s="20" t="b">
        <f t="shared" si="58"/>
        <v>1</v>
      </c>
      <c r="X94" s="34" t="b">
        <f>TRUE</f>
        <v>1</v>
      </c>
    </row>
    <row r="95" spans="1:24" x14ac:dyDescent="0.3">
      <c r="H95" s="34" t="b">
        <f>FALSE</f>
        <v>0</v>
      </c>
      <c r="I95" s="20" t="b">
        <f t="shared" si="53"/>
        <v>0</v>
      </c>
      <c r="J95" s="34" t="b">
        <f>FALSE</f>
        <v>0</v>
      </c>
      <c r="K95" s="20" t="b">
        <f t="shared" si="54"/>
        <v>1</v>
      </c>
      <c r="L95" s="34" t="b">
        <f>FALSE</f>
        <v>0</v>
      </c>
      <c r="N95" s="34" t="b">
        <f>FALSE</f>
        <v>0</v>
      </c>
      <c r="O95" s="20" t="b">
        <f t="shared" si="55"/>
        <v>0</v>
      </c>
      <c r="P95" s="34" t="b">
        <f>FALSE</f>
        <v>0</v>
      </c>
      <c r="Q95" s="20" t="b">
        <f t="shared" si="56"/>
        <v>1</v>
      </c>
      <c r="R95" s="34" t="b">
        <f>FALSE</f>
        <v>0</v>
      </c>
      <c r="T95" s="34" t="b">
        <f>FALSE</f>
        <v>0</v>
      </c>
      <c r="U95" s="20" t="b">
        <f t="shared" si="57"/>
        <v>0</v>
      </c>
      <c r="V95" s="34" t="b">
        <f>FALSE</f>
        <v>0</v>
      </c>
      <c r="W95" s="20" t="b">
        <f t="shared" si="58"/>
        <v>1</v>
      </c>
      <c r="X95" s="34" t="b">
        <f>FALSE</f>
        <v>0</v>
      </c>
    </row>
    <row r="96" spans="1:24" x14ac:dyDescent="0.3">
      <c r="K96" s="40" t="str">
        <f>IF(COUNTIF(K88:K95,TRUE)=COUNTA(K88:K95),"TAUTOLOGIA",IF(COUNTIF(K88:K95,FALSE)=COUNTA(K88:K95),"CONTRADICCION","REFUTABLE"))</f>
        <v>REFUTABLE</v>
      </c>
      <c r="Q96" s="40" t="str">
        <f>IF(COUNTIF(Q88:Q95,TRUE)=COUNTA(Q88:Q95),"TAUTOLOGIA",IF(COUNTIF(Q88:Q95,FALSE)=COUNTA(Q88:Q95),"CONTRADICCION","REFUTABLE"))</f>
        <v>REFUTABLE</v>
      </c>
      <c r="W96" s="40" t="str">
        <f>IF(COUNTIF(W88:W95,TRUE)=COUNTA(W88:W95),"TAUTOLOGIA",IF(COUNTIF(W88:W95,FALSE)=COUNTA(W88:W95),"CONTRADICCION","REFUTABLE"))</f>
        <v>REFUTABLE</v>
      </c>
    </row>
    <row r="98" spans="1:27" x14ac:dyDescent="0.3">
      <c r="A98" t="s">
        <v>130</v>
      </c>
    </row>
    <row r="99" spans="1:27" x14ac:dyDescent="0.3">
      <c r="A99" t="s">
        <v>131</v>
      </c>
      <c r="E99" s="34" t="s">
        <v>5</v>
      </c>
      <c r="F99" s="20" t="s">
        <v>34</v>
      </c>
      <c r="G99" s="34" t="s">
        <v>7</v>
      </c>
      <c r="H99" s="20" t="s">
        <v>6</v>
      </c>
      <c r="I99" s="20" t="s">
        <v>132</v>
      </c>
      <c r="J99" s="20" t="s">
        <v>34</v>
      </c>
      <c r="K99" s="34" t="s">
        <v>57</v>
      </c>
      <c r="M99" s="34" t="s">
        <v>5</v>
      </c>
      <c r="N99" s="20" t="s">
        <v>34</v>
      </c>
      <c r="O99" s="34" t="s">
        <v>7</v>
      </c>
      <c r="P99" s="20" t="s">
        <v>6</v>
      </c>
      <c r="Q99" s="20" t="s">
        <v>132</v>
      </c>
      <c r="R99" s="20" t="s">
        <v>34</v>
      </c>
      <c r="S99" s="34" t="s">
        <v>57</v>
      </c>
      <c r="U99" s="34" t="s">
        <v>5</v>
      </c>
      <c r="V99" s="20" t="s">
        <v>34</v>
      </c>
      <c r="W99" s="34" t="s">
        <v>7</v>
      </c>
      <c r="X99" s="20" t="s">
        <v>6</v>
      </c>
      <c r="Y99" s="20" t="s">
        <v>132</v>
      </c>
      <c r="Z99" s="20" t="s">
        <v>34</v>
      </c>
      <c r="AA99" s="34" t="s">
        <v>57</v>
      </c>
    </row>
    <row r="100" spans="1:27" x14ac:dyDescent="0.3">
      <c r="A100" t="s">
        <v>133</v>
      </c>
      <c r="E100" s="34" t="b">
        <f>TRUE</f>
        <v>1</v>
      </c>
      <c r="F100" s="20" t="b">
        <f>IF(E100,G100,TRUE)</f>
        <v>1</v>
      </c>
      <c r="G100" s="34" t="b">
        <f>TRUE</f>
        <v>1</v>
      </c>
      <c r="H100" s="20" t="b">
        <f>IF(F100,TRUE,J100)</f>
        <v>1</v>
      </c>
      <c r="I100" s="20" t="b">
        <f>IF(E100,FALSE,TRUE)</f>
        <v>0</v>
      </c>
      <c r="J100" s="20" t="b">
        <f>IF(I100,K100,TRUE)</f>
        <v>1</v>
      </c>
      <c r="K100" s="34" t="b">
        <f>TRUE</f>
        <v>1</v>
      </c>
      <c r="M100" s="34" t="b">
        <f>TRUE</f>
        <v>1</v>
      </c>
      <c r="N100" s="20" t="b">
        <f>IF(M100,O100,TRUE)</f>
        <v>1</v>
      </c>
      <c r="O100" s="34" t="b">
        <f>TRUE</f>
        <v>1</v>
      </c>
      <c r="P100" s="20" t="b">
        <f>IF(N100,TRUE,R100)</f>
        <v>1</v>
      </c>
      <c r="Q100" s="20" t="b">
        <f>IF(M100,FALSE,TRUE)</f>
        <v>0</v>
      </c>
      <c r="R100" s="20" t="b">
        <f>IF(Q100,S100,TRUE)</f>
        <v>1</v>
      </c>
      <c r="S100" s="34" t="b">
        <f>TRUE</f>
        <v>1</v>
      </c>
      <c r="U100" s="34" t="b">
        <f>TRUE</f>
        <v>1</v>
      </c>
      <c r="V100" s="20" t="b">
        <f>IF(U100,W100,TRUE)</f>
        <v>1</v>
      </c>
      <c r="W100" s="34" t="b">
        <f>TRUE</f>
        <v>1</v>
      </c>
      <c r="X100" s="20" t="b">
        <f>IF(V100,TRUE,Z100)</f>
        <v>1</v>
      </c>
      <c r="Y100" s="20" t="b">
        <f>IF(U100,FALSE,TRUE)</f>
        <v>0</v>
      </c>
      <c r="Z100" s="20" t="b">
        <f>IF(Y100,AA100,TRUE)</f>
        <v>1</v>
      </c>
      <c r="AA100" s="34" t="b">
        <f>TRUE</f>
        <v>1</v>
      </c>
    </row>
    <row r="101" spans="1:27" x14ac:dyDescent="0.3">
      <c r="A101" t="s">
        <v>134</v>
      </c>
      <c r="E101" s="34" t="b">
        <f>TRUE</f>
        <v>1</v>
      </c>
      <c r="F101" s="20" t="b">
        <f t="shared" ref="F101:F107" si="59">IF(E101,G101,TRUE)</f>
        <v>1</v>
      </c>
      <c r="G101" s="34" t="b">
        <f>TRUE</f>
        <v>1</v>
      </c>
      <c r="H101" s="20" t="b">
        <f t="shared" ref="H101:H107" si="60">IF(F101,TRUE,J101)</f>
        <v>1</v>
      </c>
      <c r="I101" s="20" t="b">
        <f t="shared" ref="I101:I107" si="61">IF(E101,FALSE,TRUE)</f>
        <v>0</v>
      </c>
      <c r="J101" s="20" t="b">
        <f t="shared" ref="J101:J107" si="62">IF(I101,K101,TRUE)</f>
        <v>1</v>
      </c>
      <c r="K101" s="34" t="b">
        <f>FALSE</f>
        <v>0</v>
      </c>
      <c r="M101" s="34" t="b">
        <f>TRUE</f>
        <v>1</v>
      </c>
      <c r="N101" s="20" t="b">
        <f t="shared" ref="N101:N107" si="63">IF(M101,O101,TRUE)</f>
        <v>1</v>
      </c>
      <c r="O101" s="34" t="b">
        <f>TRUE</f>
        <v>1</v>
      </c>
      <c r="P101" s="20" t="b">
        <f t="shared" ref="P101:P107" si="64">IF(N101,TRUE,R101)</f>
        <v>1</v>
      </c>
      <c r="Q101" s="20" t="b">
        <f t="shared" ref="Q101:Q107" si="65">IF(M101,FALSE,TRUE)</f>
        <v>0</v>
      </c>
      <c r="R101" s="20" t="b">
        <f t="shared" ref="R101:R107" si="66">IF(Q101,S101,TRUE)</f>
        <v>1</v>
      </c>
      <c r="S101" s="34" t="b">
        <f>FALSE</f>
        <v>0</v>
      </c>
      <c r="U101" s="34" t="b">
        <f>TRUE</f>
        <v>1</v>
      </c>
      <c r="V101" s="20" t="b">
        <f t="shared" ref="V101:V107" si="67">IF(U101,W101,TRUE)</f>
        <v>1</v>
      </c>
      <c r="W101" s="34" t="b">
        <f>TRUE</f>
        <v>1</v>
      </c>
      <c r="X101" s="20" t="b">
        <f t="shared" ref="X101:X107" si="68">IF(V101,TRUE,Z101)</f>
        <v>1</v>
      </c>
      <c r="Y101" s="20" t="b">
        <f t="shared" ref="Y101:Y107" si="69">IF(U101,FALSE,TRUE)</f>
        <v>0</v>
      </c>
      <c r="Z101" s="20" t="b">
        <f t="shared" ref="Z101:Z107" si="70">IF(Y101,AA101,TRUE)</f>
        <v>1</v>
      </c>
      <c r="AA101" s="34" t="b">
        <f>FALSE</f>
        <v>0</v>
      </c>
    </row>
    <row r="102" spans="1:27" x14ac:dyDescent="0.3">
      <c r="A102" t="s">
        <v>135</v>
      </c>
      <c r="E102" s="34" t="b">
        <f>TRUE</f>
        <v>1</v>
      </c>
      <c r="F102" s="20" t="b">
        <f t="shared" si="59"/>
        <v>0</v>
      </c>
      <c r="G102" s="34" t="b">
        <f>FALSE</f>
        <v>0</v>
      </c>
      <c r="H102" s="20" t="b">
        <f t="shared" si="60"/>
        <v>1</v>
      </c>
      <c r="I102" s="20" t="b">
        <f t="shared" si="61"/>
        <v>0</v>
      </c>
      <c r="J102" s="20" t="b">
        <f t="shared" si="62"/>
        <v>1</v>
      </c>
      <c r="K102" s="34" t="b">
        <f>TRUE</f>
        <v>1</v>
      </c>
      <c r="M102" s="34" t="b">
        <f>TRUE</f>
        <v>1</v>
      </c>
      <c r="N102" s="20" t="b">
        <f t="shared" si="63"/>
        <v>0</v>
      </c>
      <c r="O102" s="34" t="b">
        <f>FALSE</f>
        <v>0</v>
      </c>
      <c r="P102" s="20" t="b">
        <f t="shared" si="64"/>
        <v>1</v>
      </c>
      <c r="Q102" s="20" t="b">
        <f t="shared" si="65"/>
        <v>0</v>
      </c>
      <c r="R102" s="20" t="b">
        <f t="shared" si="66"/>
        <v>1</v>
      </c>
      <c r="S102" s="34" t="b">
        <f>TRUE</f>
        <v>1</v>
      </c>
      <c r="U102" s="34" t="b">
        <f>TRUE</f>
        <v>1</v>
      </c>
      <c r="V102" s="20" t="b">
        <f t="shared" si="67"/>
        <v>0</v>
      </c>
      <c r="W102" s="34" t="b">
        <f>FALSE</f>
        <v>0</v>
      </c>
      <c r="X102" s="20" t="b">
        <f t="shared" si="68"/>
        <v>1</v>
      </c>
      <c r="Y102" s="20" t="b">
        <f t="shared" si="69"/>
        <v>0</v>
      </c>
      <c r="Z102" s="20" t="b">
        <f t="shared" si="70"/>
        <v>1</v>
      </c>
      <c r="AA102" s="34" t="b">
        <f>TRUE</f>
        <v>1</v>
      </c>
    </row>
    <row r="103" spans="1:27" x14ac:dyDescent="0.3">
      <c r="A103" t="s">
        <v>136</v>
      </c>
      <c r="E103" s="34" t="b">
        <f>TRUE</f>
        <v>1</v>
      </c>
      <c r="F103" s="20" t="b">
        <f t="shared" si="59"/>
        <v>0</v>
      </c>
      <c r="G103" s="34" t="b">
        <f>FALSE</f>
        <v>0</v>
      </c>
      <c r="H103" s="20" t="b">
        <f t="shared" si="60"/>
        <v>1</v>
      </c>
      <c r="I103" s="20" t="b">
        <f t="shared" si="61"/>
        <v>0</v>
      </c>
      <c r="J103" s="20" t="b">
        <f t="shared" si="62"/>
        <v>1</v>
      </c>
      <c r="K103" s="34" t="b">
        <f>FALSE</f>
        <v>0</v>
      </c>
      <c r="M103" s="34" t="b">
        <f>TRUE</f>
        <v>1</v>
      </c>
      <c r="N103" s="20" t="b">
        <f t="shared" si="63"/>
        <v>0</v>
      </c>
      <c r="O103" s="34" t="b">
        <f>FALSE</f>
        <v>0</v>
      </c>
      <c r="P103" s="20" t="b">
        <f t="shared" si="64"/>
        <v>1</v>
      </c>
      <c r="Q103" s="20" t="b">
        <f t="shared" si="65"/>
        <v>0</v>
      </c>
      <c r="R103" s="20" t="b">
        <f t="shared" si="66"/>
        <v>1</v>
      </c>
      <c r="S103" s="34" t="b">
        <f>FALSE</f>
        <v>0</v>
      </c>
      <c r="U103" s="34" t="b">
        <f>TRUE</f>
        <v>1</v>
      </c>
      <c r="V103" s="20" t="b">
        <f t="shared" si="67"/>
        <v>0</v>
      </c>
      <c r="W103" s="34" t="b">
        <f>FALSE</f>
        <v>0</v>
      </c>
      <c r="X103" s="20" t="b">
        <f t="shared" si="68"/>
        <v>1</v>
      </c>
      <c r="Y103" s="20" t="b">
        <f t="shared" si="69"/>
        <v>0</v>
      </c>
      <c r="Z103" s="20" t="b">
        <f t="shared" si="70"/>
        <v>1</v>
      </c>
      <c r="AA103" s="34" t="b">
        <f>FALSE</f>
        <v>0</v>
      </c>
    </row>
    <row r="104" spans="1:27" x14ac:dyDescent="0.3">
      <c r="E104" s="34" t="b">
        <f>FALSE</f>
        <v>0</v>
      </c>
      <c r="F104" s="20" t="b">
        <f t="shared" si="59"/>
        <v>1</v>
      </c>
      <c r="G104" s="34" t="b">
        <f>TRUE</f>
        <v>1</v>
      </c>
      <c r="H104" s="20" t="b">
        <f t="shared" si="60"/>
        <v>1</v>
      </c>
      <c r="I104" s="20" t="b">
        <f t="shared" si="61"/>
        <v>1</v>
      </c>
      <c r="J104" s="20" t="b">
        <f t="shared" si="62"/>
        <v>1</v>
      </c>
      <c r="K104" s="34" t="b">
        <f>TRUE</f>
        <v>1</v>
      </c>
      <c r="M104" s="34" t="b">
        <f>FALSE</f>
        <v>0</v>
      </c>
      <c r="N104" s="20" t="b">
        <f t="shared" si="63"/>
        <v>1</v>
      </c>
      <c r="O104" s="34" t="b">
        <f>TRUE</f>
        <v>1</v>
      </c>
      <c r="P104" s="20" t="b">
        <f t="shared" si="64"/>
        <v>1</v>
      </c>
      <c r="Q104" s="20" t="b">
        <f t="shared" si="65"/>
        <v>1</v>
      </c>
      <c r="R104" s="20" t="b">
        <f t="shared" si="66"/>
        <v>1</v>
      </c>
      <c r="S104" s="34" t="b">
        <f>TRUE</f>
        <v>1</v>
      </c>
      <c r="U104" s="34" t="b">
        <f>FALSE</f>
        <v>0</v>
      </c>
      <c r="V104" s="20" t="b">
        <f t="shared" si="67"/>
        <v>1</v>
      </c>
      <c r="W104" s="34" t="b">
        <f>TRUE</f>
        <v>1</v>
      </c>
      <c r="X104" s="20" t="b">
        <f t="shared" si="68"/>
        <v>1</v>
      </c>
      <c r="Y104" s="20" t="b">
        <f t="shared" si="69"/>
        <v>1</v>
      </c>
      <c r="Z104" s="20" t="b">
        <f t="shared" si="70"/>
        <v>1</v>
      </c>
      <c r="AA104" s="34" t="b">
        <f>TRUE</f>
        <v>1</v>
      </c>
    </row>
    <row r="105" spans="1:27" x14ac:dyDescent="0.3">
      <c r="E105" s="34" t="b">
        <f>FALSE</f>
        <v>0</v>
      </c>
      <c r="F105" s="20" t="b">
        <f t="shared" si="59"/>
        <v>1</v>
      </c>
      <c r="G105" s="34" t="b">
        <f>TRUE</f>
        <v>1</v>
      </c>
      <c r="H105" s="20" t="b">
        <f t="shared" si="60"/>
        <v>1</v>
      </c>
      <c r="I105" s="20" t="b">
        <f t="shared" si="61"/>
        <v>1</v>
      </c>
      <c r="J105" s="20" t="b">
        <f t="shared" si="62"/>
        <v>0</v>
      </c>
      <c r="K105" s="34" t="b">
        <f>FALSE</f>
        <v>0</v>
      </c>
      <c r="M105" s="34" t="b">
        <f>FALSE</f>
        <v>0</v>
      </c>
      <c r="N105" s="20" t="b">
        <f t="shared" si="63"/>
        <v>1</v>
      </c>
      <c r="O105" s="34" t="b">
        <f>TRUE</f>
        <v>1</v>
      </c>
      <c r="P105" s="20" t="b">
        <f t="shared" si="64"/>
        <v>1</v>
      </c>
      <c r="Q105" s="20" t="b">
        <f t="shared" si="65"/>
        <v>1</v>
      </c>
      <c r="R105" s="20" t="b">
        <f t="shared" si="66"/>
        <v>0</v>
      </c>
      <c r="S105" s="34" t="b">
        <f>FALSE</f>
        <v>0</v>
      </c>
      <c r="U105" s="34" t="b">
        <f>FALSE</f>
        <v>0</v>
      </c>
      <c r="V105" s="20" t="b">
        <f t="shared" si="67"/>
        <v>1</v>
      </c>
      <c r="W105" s="34" t="b">
        <f>TRUE</f>
        <v>1</v>
      </c>
      <c r="X105" s="20" t="b">
        <f t="shared" si="68"/>
        <v>1</v>
      </c>
      <c r="Y105" s="20" t="b">
        <f t="shared" si="69"/>
        <v>1</v>
      </c>
      <c r="Z105" s="20" t="b">
        <f t="shared" si="70"/>
        <v>0</v>
      </c>
      <c r="AA105" s="34" t="b">
        <f>FALSE</f>
        <v>0</v>
      </c>
    </row>
    <row r="106" spans="1:27" x14ac:dyDescent="0.3">
      <c r="E106" s="34" t="b">
        <f>FALSE</f>
        <v>0</v>
      </c>
      <c r="F106" s="20" t="b">
        <f t="shared" si="59"/>
        <v>1</v>
      </c>
      <c r="G106" s="34" t="b">
        <f>FALSE</f>
        <v>0</v>
      </c>
      <c r="H106" s="20" t="b">
        <f t="shared" si="60"/>
        <v>1</v>
      </c>
      <c r="I106" s="20" t="b">
        <f t="shared" si="61"/>
        <v>1</v>
      </c>
      <c r="J106" s="20" t="b">
        <f t="shared" si="62"/>
        <v>1</v>
      </c>
      <c r="K106" s="34" t="b">
        <f>TRUE</f>
        <v>1</v>
      </c>
      <c r="M106" s="34" t="b">
        <f>FALSE</f>
        <v>0</v>
      </c>
      <c r="N106" s="20" t="b">
        <f t="shared" si="63"/>
        <v>1</v>
      </c>
      <c r="O106" s="34" t="b">
        <f>FALSE</f>
        <v>0</v>
      </c>
      <c r="P106" s="20" t="b">
        <f t="shared" si="64"/>
        <v>1</v>
      </c>
      <c r="Q106" s="20" t="b">
        <f t="shared" si="65"/>
        <v>1</v>
      </c>
      <c r="R106" s="20" t="b">
        <f t="shared" si="66"/>
        <v>1</v>
      </c>
      <c r="S106" s="34" t="b">
        <f>TRUE</f>
        <v>1</v>
      </c>
      <c r="U106" s="34" t="b">
        <f>FALSE</f>
        <v>0</v>
      </c>
      <c r="V106" s="20" t="b">
        <f t="shared" si="67"/>
        <v>1</v>
      </c>
      <c r="W106" s="34" t="b">
        <f>FALSE</f>
        <v>0</v>
      </c>
      <c r="X106" s="20" t="b">
        <f t="shared" si="68"/>
        <v>1</v>
      </c>
      <c r="Y106" s="20" t="b">
        <f t="shared" si="69"/>
        <v>1</v>
      </c>
      <c r="Z106" s="20" t="b">
        <f t="shared" si="70"/>
        <v>1</v>
      </c>
      <c r="AA106" s="34" t="b">
        <f>TRUE</f>
        <v>1</v>
      </c>
    </row>
    <row r="107" spans="1:27" x14ac:dyDescent="0.3">
      <c r="E107" s="34" t="b">
        <f>FALSE</f>
        <v>0</v>
      </c>
      <c r="F107" s="20" t="b">
        <f t="shared" si="59"/>
        <v>1</v>
      </c>
      <c r="G107" s="34" t="b">
        <f>FALSE</f>
        <v>0</v>
      </c>
      <c r="H107" s="20" t="b">
        <f t="shared" si="60"/>
        <v>1</v>
      </c>
      <c r="I107" s="20" t="b">
        <f t="shared" si="61"/>
        <v>1</v>
      </c>
      <c r="J107" s="20" t="b">
        <f t="shared" si="62"/>
        <v>0</v>
      </c>
      <c r="K107" s="34" t="b">
        <f>FALSE</f>
        <v>0</v>
      </c>
      <c r="M107" s="34" t="b">
        <f>FALSE</f>
        <v>0</v>
      </c>
      <c r="N107" s="20" t="b">
        <f t="shared" si="63"/>
        <v>1</v>
      </c>
      <c r="O107" s="34" t="b">
        <f>FALSE</f>
        <v>0</v>
      </c>
      <c r="P107" s="20" t="b">
        <f t="shared" si="64"/>
        <v>1</v>
      </c>
      <c r="Q107" s="20" t="b">
        <f t="shared" si="65"/>
        <v>1</v>
      </c>
      <c r="R107" s="20" t="b">
        <f t="shared" si="66"/>
        <v>0</v>
      </c>
      <c r="S107" s="34" t="b">
        <f>FALSE</f>
        <v>0</v>
      </c>
      <c r="U107" s="34" t="b">
        <f>FALSE</f>
        <v>0</v>
      </c>
      <c r="V107" s="20" t="b">
        <f t="shared" si="67"/>
        <v>1</v>
      </c>
      <c r="W107" s="34" t="b">
        <f>FALSE</f>
        <v>0</v>
      </c>
      <c r="X107" s="20" t="b">
        <f t="shared" si="68"/>
        <v>1</v>
      </c>
      <c r="Y107" s="20" t="b">
        <f t="shared" si="69"/>
        <v>1</v>
      </c>
      <c r="Z107" s="20" t="b">
        <f t="shared" si="70"/>
        <v>0</v>
      </c>
      <c r="AA107" s="34" t="b">
        <f>FALSE</f>
        <v>0</v>
      </c>
    </row>
    <row r="108" spans="1:27" x14ac:dyDescent="0.3">
      <c r="H108" s="40" t="str">
        <f>IF(COUNTIF(H100:H107,TRUE)=COUNTA(H100:H107),"TAUTOLOGIA",IF(COUNTIF(H100:H107,FALSE)=COUNTA(H100:H107),"CONTRADICCION","REFUTABLE"))</f>
        <v>TAUTOLOGIA</v>
      </c>
      <c r="P108" s="40" t="str">
        <f>IF(COUNTIF(P100:P107,TRUE)=COUNTA(P100:P107),"TAUTOLOGIA",IF(COUNTIF(P100:P107,FALSE)=COUNTA(P100:P107),"CONTRADICCION","REFUTABLE"))</f>
        <v>TAUTOLOGIA</v>
      </c>
      <c r="X108" s="40" t="str">
        <f>IF(COUNTIF(X100:X107,TRUE)=COUNTA(X100:X107),"TAUTOLOGIA",IF(COUNTIF(X100:X107,FALSE)=COUNTA(X100:X107),"CONTRADICCION","REFUTABLE"))</f>
        <v>TAUTOLOGIA</v>
      </c>
    </row>
    <row r="109" spans="1:27" x14ac:dyDescent="0.3">
      <c r="A109" t="s">
        <v>137</v>
      </c>
    </row>
    <row r="110" spans="1:27" x14ac:dyDescent="0.3">
      <c r="A110" t="s">
        <v>138</v>
      </c>
    </row>
    <row r="111" spans="1:27" x14ac:dyDescent="0.3">
      <c r="A111" t="s">
        <v>139</v>
      </c>
    </row>
    <row r="112" spans="1:27" x14ac:dyDescent="0.3">
      <c r="A112" t="s">
        <v>140</v>
      </c>
    </row>
    <row r="113" spans="1:26" x14ac:dyDescent="0.3">
      <c r="A113" t="s">
        <v>141</v>
      </c>
      <c r="D113" s="34" t="s">
        <v>5</v>
      </c>
      <c r="E113" s="20" t="s">
        <v>10</v>
      </c>
      <c r="F113" s="34" t="s">
        <v>7</v>
      </c>
      <c r="G113" s="20" t="s">
        <v>6</v>
      </c>
      <c r="H113" s="20" t="s">
        <v>142</v>
      </c>
      <c r="I113" s="20" t="s">
        <v>10</v>
      </c>
      <c r="J113" s="34" t="s">
        <v>57</v>
      </c>
      <c r="L113" s="34" t="s">
        <v>5</v>
      </c>
      <c r="M113" s="20" t="s">
        <v>10</v>
      </c>
      <c r="N113" s="34" t="s">
        <v>7</v>
      </c>
      <c r="O113" s="20" t="s">
        <v>6</v>
      </c>
      <c r="P113" s="20" t="s">
        <v>142</v>
      </c>
      <c r="Q113" s="20" t="s">
        <v>10</v>
      </c>
      <c r="R113" s="34" t="s">
        <v>57</v>
      </c>
      <c r="T113" s="34" t="s">
        <v>5</v>
      </c>
      <c r="U113" s="20" t="s">
        <v>10</v>
      </c>
      <c r="V113" s="34" t="s">
        <v>7</v>
      </c>
      <c r="W113" s="20" t="s">
        <v>6</v>
      </c>
      <c r="X113" s="20" t="s">
        <v>142</v>
      </c>
      <c r="Y113" s="20" t="s">
        <v>10</v>
      </c>
      <c r="Z113" s="34" t="s">
        <v>57</v>
      </c>
    </row>
    <row r="114" spans="1:26" x14ac:dyDescent="0.3">
      <c r="A114" t="s">
        <v>143</v>
      </c>
      <c r="D114" s="34" t="b">
        <f>TRUE</f>
        <v>1</v>
      </c>
      <c r="E114" s="20" t="b">
        <f>IF(D114,F114,FALSE)</f>
        <v>1</v>
      </c>
      <c r="F114" s="34" t="b">
        <f>TRUE</f>
        <v>1</v>
      </c>
      <c r="G114" s="20" t="b">
        <f>IF(E114=FALSE,H114,TRUE)</f>
        <v>1</v>
      </c>
      <c r="H114" s="20" t="b">
        <f>IF(D114,FALSE,TRUE)</f>
        <v>0</v>
      </c>
      <c r="I114" s="20" t="b">
        <f>IF(H114,J114,FALSE)</f>
        <v>0</v>
      </c>
      <c r="J114" s="34" t="b">
        <f>TRUE</f>
        <v>1</v>
      </c>
      <c r="L114" s="34" t="b">
        <f>TRUE</f>
        <v>1</v>
      </c>
      <c r="M114" s="20" t="b">
        <f>IF(L114=FALSE,FALSE,N114)</f>
        <v>1</v>
      </c>
      <c r="N114" s="34" t="b">
        <f>TRUE</f>
        <v>1</v>
      </c>
      <c r="O114" s="20" t="b">
        <f>IF(M114=FALSE,P114,TRUE)</f>
        <v>1</v>
      </c>
      <c r="P114" s="20" t="b">
        <f>IF(L114,FALSE,TRUE)</f>
        <v>0</v>
      </c>
      <c r="Q114" s="20" t="b">
        <f>IF(P114=FALSE,FALSE,R114)</f>
        <v>0</v>
      </c>
      <c r="R114" s="34" t="b">
        <f>TRUE</f>
        <v>1</v>
      </c>
      <c r="T114" s="34" t="b">
        <f>TRUE</f>
        <v>1</v>
      </c>
      <c r="U114" s="20" t="b">
        <f>IF(OR(T114=FALSE,V114=FALSE),FALSE,TRUE)</f>
        <v>1</v>
      </c>
      <c r="V114" s="34" t="b">
        <f>TRUE</f>
        <v>1</v>
      </c>
      <c r="W114" s="20" t="b">
        <f>IF(U114=FALSE,X114,TRUE)</f>
        <v>1</v>
      </c>
      <c r="X114" s="20" t="b">
        <f>IF(T114,FALSE,TRUE)</f>
        <v>0</v>
      </c>
      <c r="Y114" s="20" t="b">
        <f>IF(OR(X114=FALSE,Z114=FALSE),FALSE,TRUE)</f>
        <v>0</v>
      </c>
      <c r="Z114" s="34" t="b">
        <f>TRUE</f>
        <v>1</v>
      </c>
    </row>
    <row r="115" spans="1:26" x14ac:dyDescent="0.3">
      <c r="D115" s="34" t="b">
        <f>TRUE</f>
        <v>1</v>
      </c>
      <c r="E115" s="20" t="b">
        <f t="shared" ref="E115:E121" si="71">IF(D115,F115,FALSE)</f>
        <v>1</v>
      </c>
      <c r="F115" s="34" t="b">
        <f>TRUE</f>
        <v>1</v>
      </c>
      <c r="G115" s="20" t="b">
        <f t="shared" ref="G115:G121" si="72">IF(E115=FALSE,H115,TRUE)</f>
        <v>1</v>
      </c>
      <c r="H115" s="20" t="b">
        <f t="shared" ref="H115:H121" si="73">IF(D115,FALSE,TRUE)</f>
        <v>0</v>
      </c>
      <c r="I115" s="20" t="b">
        <f t="shared" ref="I115:I121" si="74">IF(H115,J115,FALSE)</f>
        <v>0</v>
      </c>
      <c r="J115" s="34" t="b">
        <f>FALSE</f>
        <v>0</v>
      </c>
      <c r="L115" s="34" t="b">
        <f>TRUE</f>
        <v>1</v>
      </c>
      <c r="M115" s="20" t="b">
        <f t="shared" ref="M115:M121" si="75">IF(L115=FALSE,FALSE,N115)</f>
        <v>1</v>
      </c>
      <c r="N115" s="34" t="b">
        <f>TRUE</f>
        <v>1</v>
      </c>
      <c r="O115" s="20" t="b">
        <f t="shared" ref="O115:O121" si="76">IF(M115=FALSE,P115,TRUE)</f>
        <v>1</v>
      </c>
      <c r="P115" s="20" t="b">
        <f t="shared" ref="P115:P121" si="77">IF(L115,FALSE,TRUE)</f>
        <v>0</v>
      </c>
      <c r="Q115" s="20" t="b">
        <f t="shared" ref="Q115:Q121" si="78">IF(P115=FALSE,FALSE,R115)</f>
        <v>0</v>
      </c>
      <c r="R115" s="34" t="b">
        <f>FALSE</f>
        <v>0</v>
      </c>
      <c r="T115" s="34" t="b">
        <f>TRUE</f>
        <v>1</v>
      </c>
      <c r="U115" s="20" t="b">
        <f t="shared" ref="U115:U121" si="79">IF(OR(T115=FALSE,V115=FALSE),FALSE,TRUE)</f>
        <v>1</v>
      </c>
      <c r="V115" s="34" t="b">
        <f>TRUE</f>
        <v>1</v>
      </c>
      <c r="W115" s="20" t="b">
        <f t="shared" ref="W115:W121" si="80">IF(U115=FALSE,X115,TRUE)</f>
        <v>1</v>
      </c>
      <c r="X115" s="20" t="b">
        <f t="shared" ref="X115:X121" si="81">IF(T115,FALSE,TRUE)</f>
        <v>0</v>
      </c>
      <c r="Y115" s="20" t="b">
        <f t="shared" ref="Y115:Y121" si="82">IF(OR(X115=FALSE,Z115=FALSE),FALSE,TRUE)</f>
        <v>0</v>
      </c>
      <c r="Z115" s="34" t="b">
        <f>FALSE</f>
        <v>0</v>
      </c>
    </row>
    <row r="116" spans="1:26" x14ac:dyDescent="0.3">
      <c r="D116" s="34" t="b">
        <f>TRUE</f>
        <v>1</v>
      </c>
      <c r="E116" s="20" t="b">
        <f t="shared" si="71"/>
        <v>0</v>
      </c>
      <c r="F116" s="34" t="b">
        <f>FALSE</f>
        <v>0</v>
      </c>
      <c r="G116" s="20" t="b">
        <f t="shared" si="72"/>
        <v>0</v>
      </c>
      <c r="H116" s="20" t="b">
        <f t="shared" si="73"/>
        <v>0</v>
      </c>
      <c r="I116" s="20" t="b">
        <f t="shared" si="74"/>
        <v>0</v>
      </c>
      <c r="J116" s="34" t="b">
        <f>TRUE</f>
        <v>1</v>
      </c>
      <c r="L116" s="34" t="b">
        <f>TRUE</f>
        <v>1</v>
      </c>
      <c r="M116" s="20" t="b">
        <f t="shared" si="75"/>
        <v>0</v>
      </c>
      <c r="N116" s="34" t="b">
        <f>FALSE</f>
        <v>0</v>
      </c>
      <c r="O116" s="20" t="b">
        <f t="shared" si="76"/>
        <v>0</v>
      </c>
      <c r="P116" s="20" t="b">
        <f t="shared" si="77"/>
        <v>0</v>
      </c>
      <c r="Q116" s="20" t="b">
        <f t="shared" si="78"/>
        <v>0</v>
      </c>
      <c r="R116" s="34" t="b">
        <f>TRUE</f>
        <v>1</v>
      </c>
      <c r="T116" s="34" t="b">
        <f>TRUE</f>
        <v>1</v>
      </c>
      <c r="U116" s="20" t="b">
        <f t="shared" si="79"/>
        <v>0</v>
      </c>
      <c r="V116" s="34" t="b">
        <f>FALSE</f>
        <v>0</v>
      </c>
      <c r="W116" s="20" t="b">
        <f t="shared" si="80"/>
        <v>0</v>
      </c>
      <c r="X116" s="20" t="b">
        <f t="shared" si="81"/>
        <v>0</v>
      </c>
      <c r="Y116" s="20" t="b">
        <f t="shared" si="82"/>
        <v>0</v>
      </c>
      <c r="Z116" s="34" t="b">
        <f>TRUE</f>
        <v>1</v>
      </c>
    </row>
    <row r="117" spans="1:26" x14ac:dyDescent="0.3">
      <c r="D117" s="34" t="b">
        <f>TRUE</f>
        <v>1</v>
      </c>
      <c r="E117" s="20" t="b">
        <f t="shared" si="71"/>
        <v>0</v>
      </c>
      <c r="F117" s="34" t="b">
        <f>FALSE</f>
        <v>0</v>
      </c>
      <c r="G117" s="20" t="b">
        <f t="shared" si="72"/>
        <v>0</v>
      </c>
      <c r="H117" s="20" t="b">
        <f t="shared" si="73"/>
        <v>0</v>
      </c>
      <c r="I117" s="20" t="b">
        <f t="shared" si="74"/>
        <v>0</v>
      </c>
      <c r="J117" s="34" t="b">
        <f>FALSE</f>
        <v>0</v>
      </c>
      <c r="L117" s="34" t="b">
        <f>TRUE</f>
        <v>1</v>
      </c>
      <c r="M117" s="20" t="b">
        <f t="shared" si="75"/>
        <v>0</v>
      </c>
      <c r="N117" s="34" t="b">
        <f>FALSE</f>
        <v>0</v>
      </c>
      <c r="O117" s="20" t="b">
        <f t="shared" si="76"/>
        <v>0</v>
      </c>
      <c r="P117" s="20" t="b">
        <f t="shared" si="77"/>
        <v>0</v>
      </c>
      <c r="Q117" s="20" t="b">
        <f t="shared" si="78"/>
        <v>0</v>
      </c>
      <c r="R117" s="34" t="b">
        <f>FALSE</f>
        <v>0</v>
      </c>
      <c r="T117" s="34" t="b">
        <f>TRUE</f>
        <v>1</v>
      </c>
      <c r="U117" s="20" t="b">
        <f t="shared" si="79"/>
        <v>0</v>
      </c>
      <c r="V117" s="34" t="b">
        <f>FALSE</f>
        <v>0</v>
      </c>
      <c r="W117" s="20" t="b">
        <f t="shared" si="80"/>
        <v>0</v>
      </c>
      <c r="X117" s="20" t="b">
        <f t="shared" si="81"/>
        <v>0</v>
      </c>
      <c r="Y117" s="20" t="b">
        <f t="shared" si="82"/>
        <v>0</v>
      </c>
      <c r="Z117" s="34" t="b">
        <f>FALSE</f>
        <v>0</v>
      </c>
    </row>
    <row r="118" spans="1:26" x14ac:dyDescent="0.3">
      <c r="D118" s="34" t="b">
        <f>FALSE</f>
        <v>0</v>
      </c>
      <c r="E118" s="20" t="b">
        <f t="shared" si="71"/>
        <v>0</v>
      </c>
      <c r="F118" s="34" t="b">
        <f>TRUE</f>
        <v>1</v>
      </c>
      <c r="G118" s="20" t="b">
        <f t="shared" si="72"/>
        <v>1</v>
      </c>
      <c r="H118" s="20" t="b">
        <f t="shared" si="73"/>
        <v>1</v>
      </c>
      <c r="I118" s="20" t="b">
        <f t="shared" si="74"/>
        <v>1</v>
      </c>
      <c r="J118" s="34" t="b">
        <f>TRUE</f>
        <v>1</v>
      </c>
      <c r="L118" s="34" t="b">
        <f>FALSE</f>
        <v>0</v>
      </c>
      <c r="M118" s="20" t="b">
        <f t="shared" si="75"/>
        <v>0</v>
      </c>
      <c r="N118" s="34" t="b">
        <f>TRUE</f>
        <v>1</v>
      </c>
      <c r="O118" s="20" t="b">
        <f t="shared" si="76"/>
        <v>1</v>
      </c>
      <c r="P118" s="20" t="b">
        <f t="shared" si="77"/>
        <v>1</v>
      </c>
      <c r="Q118" s="20" t="b">
        <f t="shared" si="78"/>
        <v>1</v>
      </c>
      <c r="R118" s="34" t="b">
        <f>TRUE</f>
        <v>1</v>
      </c>
      <c r="T118" s="34" t="b">
        <f>FALSE</f>
        <v>0</v>
      </c>
      <c r="U118" s="20" t="b">
        <f t="shared" si="79"/>
        <v>0</v>
      </c>
      <c r="V118" s="34" t="b">
        <f>TRUE</f>
        <v>1</v>
      </c>
      <c r="W118" s="20" t="b">
        <f t="shared" si="80"/>
        <v>1</v>
      </c>
      <c r="X118" s="20" t="b">
        <f t="shared" si="81"/>
        <v>1</v>
      </c>
      <c r="Y118" s="20" t="b">
        <f t="shared" si="82"/>
        <v>1</v>
      </c>
      <c r="Z118" s="34" t="b">
        <f>TRUE</f>
        <v>1</v>
      </c>
    </row>
    <row r="119" spans="1:26" x14ac:dyDescent="0.3">
      <c r="D119" s="34" t="b">
        <f>FALSE</f>
        <v>0</v>
      </c>
      <c r="E119" s="20" t="b">
        <f t="shared" si="71"/>
        <v>0</v>
      </c>
      <c r="F119" s="34" t="b">
        <f>TRUE</f>
        <v>1</v>
      </c>
      <c r="G119" s="20" t="b">
        <f t="shared" si="72"/>
        <v>1</v>
      </c>
      <c r="H119" s="20" t="b">
        <f t="shared" si="73"/>
        <v>1</v>
      </c>
      <c r="I119" s="20" t="b">
        <f t="shared" si="74"/>
        <v>0</v>
      </c>
      <c r="J119" s="34" t="b">
        <f>FALSE</f>
        <v>0</v>
      </c>
      <c r="L119" s="34" t="b">
        <f>FALSE</f>
        <v>0</v>
      </c>
      <c r="M119" s="20" t="b">
        <f t="shared" si="75"/>
        <v>0</v>
      </c>
      <c r="N119" s="34" t="b">
        <f>TRUE</f>
        <v>1</v>
      </c>
      <c r="O119" s="20" t="b">
        <f t="shared" si="76"/>
        <v>1</v>
      </c>
      <c r="P119" s="20" t="b">
        <f t="shared" si="77"/>
        <v>1</v>
      </c>
      <c r="Q119" s="20" t="b">
        <f t="shared" si="78"/>
        <v>0</v>
      </c>
      <c r="R119" s="34" t="b">
        <f>FALSE</f>
        <v>0</v>
      </c>
      <c r="T119" s="34" t="b">
        <f>FALSE</f>
        <v>0</v>
      </c>
      <c r="U119" s="20" t="b">
        <f t="shared" si="79"/>
        <v>0</v>
      </c>
      <c r="V119" s="34" t="b">
        <f>TRUE</f>
        <v>1</v>
      </c>
      <c r="W119" s="20" t="b">
        <f t="shared" si="80"/>
        <v>1</v>
      </c>
      <c r="X119" s="20" t="b">
        <f t="shared" si="81"/>
        <v>1</v>
      </c>
      <c r="Y119" s="20" t="b">
        <f t="shared" si="82"/>
        <v>0</v>
      </c>
      <c r="Z119" s="34" t="b">
        <f>FALSE</f>
        <v>0</v>
      </c>
    </row>
    <row r="120" spans="1:26" x14ac:dyDescent="0.3">
      <c r="D120" s="34" t="b">
        <f>FALSE</f>
        <v>0</v>
      </c>
      <c r="E120" s="20" t="b">
        <f t="shared" si="71"/>
        <v>0</v>
      </c>
      <c r="F120" s="34" t="b">
        <f>FALSE</f>
        <v>0</v>
      </c>
      <c r="G120" s="20" t="b">
        <f t="shared" si="72"/>
        <v>1</v>
      </c>
      <c r="H120" s="20" t="b">
        <f t="shared" si="73"/>
        <v>1</v>
      </c>
      <c r="I120" s="20" t="b">
        <f t="shared" si="74"/>
        <v>1</v>
      </c>
      <c r="J120" s="34" t="b">
        <f>TRUE</f>
        <v>1</v>
      </c>
      <c r="L120" s="34" t="b">
        <f>FALSE</f>
        <v>0</v>
      </c>
      <c r="M120" s="20" t="b">
        <f t="shared" si="75"/>
        <v>0</v>
      </c>
      <c r="N120" s="34" t="b">
        <f>FALSE</f>
        <v>0</v>
      </c>
      <c r="O120" s="20" t="b">
        <f t="shared" si="76"/>
        <v>1</v>
      </c>
      <c r="P120" s="20" t="b">
        <f t="shared" si="77"/>
        <v>1</v>
      </c>
      <c r="Q120" s="20" t="b">
        <f t="shared" si="78"/>
        <v>1</v>
      </c>
      <c r="R120" s="34" t="b">
        <f>TRUE</f>
        <v>1</v>
      </c>
      <c r="T120" s="34" t="b">
        <f>FALSE</f>
        <v>0</v>
      </c>
      <c r="U120" s="20" t="b">
        <f t="shared" si="79"/>
        <v>0</v>
      </c>
      <c r="V120" s="34" t="b">
        <f>FALSE</f>
        <v>0</v>
      </c>
      <c r="W120" s="20" t="b">
        <f t="shared" si="80"/>
        <v>1</v>
      </c>
      <c r="X120" s="20" t="b">
        <f t="shared" si="81"/>
        <v>1</v>
      </c>
      <c r="Y120" s="20" t="b">
        <f t="shared" si="82"/>
        <v>1</v>
      </c>
      <c r="Z120" s="34" t="b">
        <f>TRUE</f>
        <v>1</v>
      </c>
    </row>
    <row r="121" spans="1:26" x14ac:dyDescent="0.3">
      <c r="D121" s="34" t="b">
        <f>FALSE</f>
        <v>0</v>
      </c>
      <c r="E121" s="20" t="b">
        <f t="shared" si="71"/>
        <v>0</v>
      </c>
      <c r="F121" s="34" t="b">
        <f>FALSE</f>
        <v>0</v>
      </c>
      <c r="G121" s="20" t="b">
        <f t="shared" si="72"/>
        <v>1</v>
      </c>
      <c r="H121" s="20" t="b">
        <f t="shared" si="73"/>
        <v>1</v>
      </c>
      <c r="I121" s="20" t="b">
        <f t="shared" si="74"/>
        <v>0</v>
      </c>
      <c r="J121" s="34" t="b">
        <f>FALSE</f>
        <v>0</v>
      </c>
      <c r="L121" s="34" t="b">
        <f>FALSE</f>
        <v>0</v>
      </c>
      <c r="M121" s="20" t="b">
        <f t="shared" si="75"/>
        <v>0</v>
      </c>
      <c r="N121" s="34" t="b">
        <f>FALSE</f>
        <v>0</v>
      </c>
      <c r="O121" s="20" t="b">
        <f t="shared" si="76"/>
        <v>1</v>
      </c>
      <c r="P121" s="20" t="b">
        <f t="shared" si="77"/>
        <v>1</v>
      </c>
      <c r="Q121" s="20" t="b">
        <f t="shared" si="78"/>
        <v>0</v>
      </c>
      <c r="R121" s="34" t="b">
        <f>FALSE</f>
        <v>0</v>
      </c>
      <c r="T121" s="34" t="b">
        <f>FALSE</f>
        <v>0</v>
      </c>
      <c r="U121" s="20" t="b">
        <f t="shared" si="79"/>
        <v>0</v>
      </c>
      <c r="V121" s="34" t="b">
        <f>FALSE</f>
        <v>0</v>
      </c>
      <c r="W121" s="20" t="b">
        <f t="shared" si="80"/>
        <v>1</v>
      </c>
      <c r="X121" s="20" t="b">
        <f t="shared" si="81"/>
        <v>1</v>
      </c>
      <c r="Y121" s="20" t="b">
        <f t="shared" si="82"/>
        <v>0</v>
      </c>
      <c r="Z121" s="34" t="b">
        <f>FALSE</f>
        <v>0</v>
      </c>
    </row>
    <row r="122" spans="1:26" x14ac:dyDescent="0.3">
      <c r="E122" s="40" t="str">
        <f>IF(COUNTIF(E114:E121,TRUE)=COUNTA(E114:E121),"TAUTOLOGIA",IF(COUNTIF(E114:E121,FALSE)=COUNTA(E114:E121),"CONTRADICCION","REFUTABLE"))</f>
        <v>REFUTABLE</v>
      </c>
      <c r="M122" s="40" t="str">
        <f>IF(COUNTIF(M114:M121,TRUE)=COUNTA(M114:M121),"TAUTOLOGIA",IF(COUNTIF(M114:M121,FALSE)=COUNTA(M114:M121),"CONTRADICCION","REFUTABLE"))</f>
        <v>REFUTABLE</v>
      </c>
      <c r="U122" s="40" t="str">
        <f>IF(COUNTIF(U114:U121,TRUE)=COUNTA(U114:U121),"TAUTOLOGIA",IF(COUNTIF(U114:U121,FALSE)=COUNTA(U114:U121),"CONTRADICCION","REFUTABLE"))</f>
        <v>REFUTABLE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AD512-F637-4657-9A76-7B1BCE0AB819}">
  <dimension ref="A1:J43"/>
  <sheetViews>
    <sheetView topLeftCell="A41" zoomScaleNormal="100" workbookViewId="0">
      <selection activeCell="P62" sqref="P62"/>
    </sheetView>
  </sheetViews>
  <sheetFormatPr baseColWidth="10" defaultRowHeight="14.4" x14ac:dyDescent="0.3"/>
  <cols>
    <col min="1" max="1" width="11" customWidth="1"/>
  </cols>
  <sheetData>
    <row r="1" spans="1:10" x14ac:dyDescent="0.3">
      <c r="A1" t="s">
        <v>148</v>
      </c>
    </row>
    <row r="2" spans="1:10" x14ac:dyDescent="0.3">
      <c r="A2" t="s">
        <v>144</v>
      </c>
    </row>
    <row r="5" spans="1:10" x14ac:dyDescent="0.3">
      <c r="C5" s="45" t="s">
        <v>5</v>
      </c>
      <c r="D5" s="20" t="s">
        <v>10</v>
      </c>
      <c r="E5" s="45" t="s">
        <v>64</v>
      </c>
      <c r="F5" s="20" t="s">
        <v>145</v>
      </c>
      <c r="G5" s="45" t="s">
        <v>57</v>
      </c>
      <c r="H5" s="20" t="s">
        <v>10</v>
      </c>
      <c r="I5" s="20" t="s">
        <v>61</v>
      </c>
      <c r="J5" s="45" t="s">
        <v>146</v>
      </c>
    </row>
    <row r="6" spans="1:10" x14ac:dyDescent="0.3">
      <c r="C6" s="45" t="b">
        <f>TRUE</f>
        <v>1</v>
      </c>
      <c r="D6" s="20" t="b">
        <f>IF(C6,E6,FALSE)</f>
        <v>1</v>
      </c>
      <c r="E6" s="45" t="b">
        <f>TRUE</f>
        <v>1</v>
      </c>
      <c r="F6" s="20" t="b">
        <f>IF(D6=H6,TRUE,FALSE)</f>
        <v>0</v>
      </c>
      <c r="G6" s="45" t="b">
        <f>TRUE</f>
        <v>1</v>
      </c>
      <c r="H6" s="20" t="b">
        <f>IF(G6,J6,FALSE)</f>
        <v>0</v>
      </c>
      <c r="I6" s="20" t="b">
        <f>TRUE</f>
        <v>1</v>
      </c>
      <c r="J6" s="45" t="b">
        <f>NOT(I6)</f>
        <v>0</v>
      </c>
    </row>
    <row r="7" spans="1:10" x14ac:dyDescent="0.3">
      <c r="C7" s="45" t="b">
        <f>TRUE</f>
        <v>1</v>
      </c>
      <c r="D7" s="20" t="b">
        <f t="shared" ref="D7:D21" si="0">IF(C7,E7,FALSE)</f>
        <v>1</v>
      </c>
      <c r="E7" s="45" t="b">
        <f>TRUE</f>
        <v>1</v>
      </c>
      <c r="F7" s="20" t="b">
        <f t="shared" ref="F7:F21" si="1">IF(D7=H7,TRUE,FALSE)</f>
        <v>1</v>
      </c>
      <c r="G7" s="45" t="b">
        <f>TRUE</f>
        <v>1</v>
      </c>
      <c r="H7" s="20" t="b">
        <f t="shared" ref="H7:H21" si="2">IF(G7,J7,FALSE)</f>
        <v>1</v>
      </c>
      <c r="I7" s="20" t="b">
        <f>FALSE</f>
        <v>0</v>
      </c>
      <c r="J7" s="45" t="b">
        <f t="shared" ref="J7:J21" si="3">NOT(I7)</f>
        <v>1</v>
      </c>
    </row>
    <row r="8" spans="1:10" x14ac:dyDescent="0.3">
      <c r="C8" s="45" t="b">
        <f>TRUE</f>
        <v>1</v>
      </c>
      <c r="D8" s="20" t="b">
        <f t="shared" si="0"/>
        <v>1</v>
      </c>
      <c r="E8" s="45" t="b">
        <f>TRUE</f>
        <v>1</v>
      </c>
      <c r="F8" s="20" t="b">
        <f t="shared" si="1"/>
        <v>0</v>
      </c>
      <c r="G8" s="45" t="b">
        <f>FALSE</f>
        <v>0</v>
      </c>
      <c r="H8" s="20" t="b">
        <f t="shared" si="2"/>
        <v>0</v>
      </c>
      <c r="I8" s="20" t="b">
        <f>TRUE</f>
        <v>1</v>
      </c>
      <c r="J8" s="45" t="b">
        <f t="shared" si="3"/>
        <v>0</v>
      </c>
    </row>
    <row r="9" spans="1:10" x14ac:dyDescent="0.3">
      <c r="C9" s="45" t="b">
        <f>TRUE</f>
        <v>1</v>
      </c>
      <c r="D9" s="20" t="b">
        <f t="shared" si="0"/>
        <v>1</v>
      </c>
      <c r="E9" s="45" t="b">
        <f>TRUE</f>
        <v>1</v>
      </c>
      <c r="F9" s="20" t="b">
        <f t="shared" si="1"/>
        <v>0</v>
      </c>
      <c r="G9" s="45" t="b">
        <f>FALSE</f>
        <v>0</v>
      </c>
      <c r="H9" s="20" t="b">
        <f t="shared" si="2"/>
        <v>0</v>
      </c>
      <c r="I9" s="20" t="b">
        <f>FALSE</f>
        <v>0</v>
      </c>
      <c r="J9" s="45" t="b">
        <f t="shared" si="3"/>
        <v>1</v>
      </c>
    </row>
    <row r="10" spans="1:10" x14ac:dyDescent="0.3">
      <c r="C10" s="45" t="b">
        <f>TRUE</f>
        <v>1</v>
      </c>
      <c r="D10" s="20" t="b">
        <f t="shared" si="0"/>
        <v>0</v>
      </c>
      <c r="E10" s="45" t="b">
        <f>FALSE</f>
        <v>0</v>
      </c>
      <c r="F10" s="20" t="b">
        <f t="shared" si="1"/>
        <v>1</v>
      </c>
      <c r="G10" s="45" t="b">
        <f>TRUE</f>
        <v>1</v>
      </c>
      <c r="H10" s="20" t="b">
        <f t="shared" si="2"/>
        <v>0</v>
      </c>
      <c r="I10" s="20" t="b">
        <f>TRUE</f>
        <v>1</v>
      </c>
      <c r="J10" s="45" t="b">
        <f t="shared" si="3"/>
        <v>0</v>
      </c>
    </row>
    <row r="11" spans="1:10" x14ac:dyDescent="0.3">
      <c r="C11" s="45" t="b">
        <f>TRUE</f>
        <v>1</v>
      </c>
      <c r="D11" s="20" t="b">
        <f t="shared" si="0"/>
        <v>0</v>
      </c>
      <c r="E11" s="45" t="b">
        <f>FALSE</f>
        <v>0</v>
      </c>
      <c r="F11" s="20" t="b">
        <f t="shared" si="1"/>
        <v>0</v>
      </c>
      <c r="G11" s="45" t="b">
        <f>TRUE</f>
        <v>1</v>
      </c>
      <c r="H11" s="20" t="b">
        <f t="shared" si="2"/>
        <v>1</v>
      </c>
      <c r="I11" s="20" t="b">
        <f>FALSE</f>
        <v>0</v>
      </c>
      <c r="J11" s="45" t="b">
        <f t="shared" si="3"/>
        <v>1</v>
      </c>
    </row>
    <row r="12" spans="1:10" x14ac:dyDescent="0.3">
      <c r="C12" s="45" t="b">
        <f>TRUE</f>
        <v>1</v>
      </c>
      <c r="D12" s="20" t="b">
        <f t="shared" si="0"/>
        <v>0</v>
      </c>
      <c r="E12" s="45" t="b">
        <f>FALSE</f>
        <v>0</v>
      </c>
      <c r="F12" s="20" t="b">
        <f t="shared" si="1"/>
        <v>1</v>
      </c>
      <c r="G12" s="45" t="b">
        <f>FALSE</f>
        <v>0</v>
      </c>
      <c r="H12" s="20" t="b">
        <f t="shared" si="2"/>
        <v>0</v>
      </c>
      <c r="I12" s="20" t="b">
        <f>TRUE</f>
        <v>1</v>
      </c>
      <c r="J12" s="45" t="b">
        <f t="shared" si="3"/>
        <v>0</v>
      </c>
    </row>
    <row r="13" spans="1:10" x14ac:dyDescent="0.3">
      <c r="C13" s="45" t="b">
        <f>TRUE</f>
        <v>1</v>
      </c>
      <c r="D13" s="20" t="b">
        <f t="shared" si="0"/>
        <v>0</v>
      </c>
      <c r="E13" s="45" t="b">
        <f>FALSE</f>
        <v>0</v>
      </c>
      <c r="F13" s="20" t="b">
        <f t="shared" si="1"/>
        <v>1</v>
      </c>
      <c r="G13" s="45" t="b">
        <f>FALSE</f>
        <v>0</v>
      </c>
      <c r="H13" s="20" t="b">
        <f t="shared" si="2"/>
        <v>0</v>
      </c>
      <c r="I13" s="20" t="b">
        <f>FALSE</f>
        <v>0</v>
      </c>
      <c r="J13" s="45" t="b">
        <f t="shared" si="3"/>
        <v>1</v>
      </c>
    </row>
    <row r="14" spans="1:10" x14ac:dyDescent="0.3">
      <c r="C14" s="45" t="b">
        <f>FALSE</f>
        <v>0</v>
      </c>
      <c r="D14" s="20" t="b">
        <f t="shared" si="0"/>
        <v>0</v>
      </c>
      <c r="E14" s="45" t="b">
        <f>TRUE</f>
        <v>1</v>
      </c>
      <c r="F14" s="20" t="b">
        <f t="shared" si="1"/>
        <v>1</v>
      </c>
      <c r="G14" s="45" t="b">
        <f>TRUE</f>
        <v>1</v>
      </c>
      <c r="H14" s="20" t="b">
        <f t="shared" si="2"/>
        <v>0</v>
      </c>
      <c r="I14" s="20" t="b">
        <f>TRUE</f>
        <v>1</v>
      </c>
      <c r="J14" s="45" t="b">
        <f t="shared" si="3"/>
        <v>0</v>
      </c>
    </row>
    <row r="15" spans="1:10" x14ac:dyDescent="0.3">
      <c r="C15" s="45" t="b">
        <f>FALSE</f>
        <v>0</v>
      </c>
      <c r="D15" s="20" t="b">
        <f t="shared" si="0"/>
        <v>0</v>
      </c>
      <c r="E15" s="45" t="b">
        <f>TRUE</f>
        <v>1</v>
      </c>
      <c r="F15" s="20" t="b">
        <f t="shared" si="1"/>
        <v>0</v>
      </c>
      <c r="G15" s="45" t="b">
        <f>TRUE</f>
        <v>1</v>
      </c>
      <c r="H15" s="20" t="b">
        <f t="shared" si="2"/>
        <v>1</v>
      </c>
      <c r="I15" s="20" t="b">
        <f>FALSE</f>
        <v>0</v>
      </c>
      <c r="J15" s="45" t="b">
        <f t="shared" si="3"/>
        <v>1</v>
      </c>
    </row>
    <row r="16" spans="1:10" x14ac:dyDescent="0.3">
      <c r="C16" s="45" t="b">
        <f>FALSE</f>
        <v>0</v>
      </c>
      <c r="D16" s="20" t="b">
        <f t="shared" si="0"/>
        <v>0</v>
      </c>
      <c r="E16" s="45" t="b">
        <f>TRUE</f>
        <v>1</v>
      </c>
      <c r="F16" s="20" t="b">
        <f t="shared" si="1"/>
        <v>1</v>
      </c>
      <c r="G16" s="45" t="b">
        <f>FALSE</f>
        <v>0</v>
      </c>
      <c r="H16" s="20" t="b">
        <f t="shared" si="2"/>
        <v>0</v>
      </c>
      <c r="I16" s="20" t="b">
        <f>TRUE</f>
        <v>1</v>
      </c>
      <c r="J16" s="45" t="b">
        <f t="shared" si="3"/>
        <v>0</v>
      </c>
    </row>
    <row r="17" spans="1:10" x14ac:dyDescent="0.3">
      <c r="C17" s="45" t="b">
        <f>FALSE</f>
        <v>0</v>
      </c>
      <c r="D17" s="20" t="b">
        <f t="shared" si="0"/>
        <v>0</v>
      </c>
      <c r="E17" s="45" t="b">
        <f>TRUE</f>
        <v>1</v>
      </c>
      <c r="F17" s="20" t="b">
        <f t="shared" si="1"/>
        <v>1</v>
      </c>
      <c r="G17" s="45" t="b">
        <f>FALSE</f>
        <v>0</v>
      </c>
      <c r="H17" s="20" t="b">
        <f t="shared" si="2"/>
        <v>0</v>
      </c>
      <c r="I17" s="20" t="b">
        <f>FALSE</f>
        <v>0</v>
      </c>
      <c r="J17" s="45" t="b">
        <f t="shared" si="3"/>
        <v>1</v>
      </c>
    </row>
    <row r="18" spans="1:10" x14ac:dyDescent="0.3">
      <c r="C18" s="45" t="b">
        <f>FALSE</f>
        <v>0</v>
      </c>
      <c r="D18" s="20" t="b">
        <f t="shared" si="0"/>
        <v>0</v>
      </c>
      <c r="E18" s="45" t="b">
        <f>FALSE</f>
        <v>0</v>
      </c>
      <c r="F18" s="20" t="b">
        <f t="shared" si="1"/>
        <v>1</v>
      </c>
      <c r="G18" s="45" t="b">
        <f>TRUE</f>
        <v>1</v>
      </c>
      <c r="H18" s="20" t="b">
        <f t="shared" si="2"/>
        <v>0</v>
      </c>
      <c r="I18" s="20" t="b">
        <f>TRUE</f>
        <v>1</v>
      </c>
      <c r="J18" s="45" t="b">
        <f t="shared" si="3"/>
        <v>0</v>
      </c>
    </row>
    <row r="19" spans="1:10" x14ac:dyDescent="0.3">
      <c r="C19" s="45" t="b">
        <f>FALSE</f>
        <v>0</v>
      </c>
      <c r="D19" s="20" t="b">
        <f t="shared" si="0"/>
        <v>0</v>
      </c>
      <c r="E19" s="45" t="b">
        <f>FALSE</f>
        <v>0</v>
      </c>
      <c r="F19" s="20" t="b">
        <f t="shared" si="1"/>
        <v>0</v>
      </c>
      <c r="G19" s="45" t="b">
        <f>TRUE</f>
        <v>1</v>
      </c>
      <c r="H19" s="20" t="b">
        <f t="shared" si="2"/>
        <v>1</v>
      </c>
      <c r="I19" s="20" t="b">
        <f>FALSE</f>
        <v>0</v>
      </c>
      <c r="J19" s="45" t="b">
        <f t="shared" si="3"/>
        <v>1</v>
      </c>
    </row>
    <row r="20" spans="1:10" x14ac:dyDescent="0.3">
      <c r="C20" s="45" t="b">
        <f>FALSE</f>
        <v>0</v>
      </c>
      <c r="D20" s="20" t="b">
        <f t="shared" si="0"/>
        <v>0</v>
      </c>
      <c r="E20" s="45" t="b">
        <f>FALSE</f>
        <v>0</v>
      </c>
      <c r="F20" s="20" t="b">
        <f t="shared" si="1"/>
        <v>1</v>
      </c>
      <c r="G20" s="45" t="b">
        <f>FALSE</f>
        <v>0</v>
      </c>
      <c r="H20" s="20" t="b">
        <f t="shared" si="2"/>
        <v>0</v>
      </c>
      <c r="I20" s="20" t="b">
        <f>TRUE</f>
        <v>1</v>
      </c>
      <c r="J20" s="45" t="b">
        <f t="shared" si="3"/>
        <v>0</v>
      </c>
    </row>
    <row r="21" spans="1:10" x14ac:dyDescent="0.3">
      <c r="C21" s="45" t="b">
        <f>FALSE</f>
        <v>0</v>
      </c>
      <c r="D21" s="20" t="b">
        <f t="shared" si="0"/>
        <v>0</v>
      </c>
      <c r="E21" s="45" t="b">
        <f>FALSE</f>
        <v>0</v>
      </c>
      <c r="F21" s="20" t="b">
        <f t="shared" si="1"/>
        <v>1</v>
      </c>
      <c r="G21" s="45" t="b">
        <f>FALSE</f>
        <v>0</v>
      </c>
      <c r="H21" s="20" t="b">
        <f t="shared" si="2"/>
        <v>0</v>
      </c>
      <c r="I21" s="20" t="b">
        <f>FALSE</f>
        <v>0</v>
      </c>
      <c r="J21" s="45" t="b">
        <f t="shared" si="3"/>
        <v>1</v>
      </c>
    </row>
    <row r="24" spans="1:10" x14ac:dyDescent="0.3">
      <c r="A24" t="s">
        <v>147</v>
      </c>
    </row>
    <row r="25" spans="1:10" x14ac:dyDescent="0.3">
      <c r="A25" t="s">
        <v>149</v>
      </c>
    </row>
    <row r="27" spans="1:10" x14ac:dyDescent="0.3">
      <c r="C27" s="45" t="s">
        <v>5</v>
      </c>
      <c r="D27" s="20" t="s">
        <v>10</v>
      </c>
      <c r="E27" s="45" t="s">
        <v>64</v>
      </c>
      <c r="F27" s="20" t="s">
        <v>150</v>
      </c>
      <c r="G27" s="45" t="s">
        <v>57</v>
      </c>
      <c r="H27" s="20" t="s">
        <v>6</v>
      </c>
      <c r="I27" s="20" t="s">
        <v>61</v>
      </c>
      <c r="J27" s="45" t="s">
        <v>146</v>
      </c>
    </row>
    <row r="28" spans="1:10" x14ac:dyDescent="0.3">
      <c r="C28" s="45" t="b">
        <f>TRUE</f>
        <v>1</v>
      </c>
      <c r="D28" s="20" t="b">
        <f>IF(C28,E28,FALSE)</f>
        <v>1</v>
      </c>
      <c r="E28" s="45" t="b">
        <f>TRUE</f>
        <v>1</v>
      </c>
      <c r="F28" s="20" t="b">
        <f>IF(D28,H28,TRUE)</f>
        <v>1</v>
      </c>
      <c r="G28" s="45" t="b">
        <f>TRUE</f>
        <v>1</v>
      </c>
      <c r="H28" s="20" t="b">
        <f>IF(G28=FALSE,J28,TRUE)</f>
        <v>1</v>
      </c>
      <c r="I28" s="20" t="b">
        <f>TRUE</f>
        <v>1</v>
      </c>
      <c r="J28" s="45" t="b">
        <f>NOT(I28)</f>
        <v>0</v>
      </c>
    </row>
    <row r="29" spans="1:10" x14ac:dyDescent="0.3">
      <c r="C29" s="45" t="b">
        <f>TRUE</f>
        <v>1</v>
      </c>
      <c r="D29" s="20" t="b">
        <f t="shared" ref="D29:D43" si="4">IF(C29,E29,FALSE)</f>
        <v>1</v>
      </c>
      <c r="E29" s="45" t="b">
        <f>TRUE</f>
        <v>1</v>
      </c>
      <c r="F29" s="20" t="b">
        <f t="shared" ref="F29:F43" si="5">IF(D29,H29,TRUE)</f>
        <v>1</v>
      </c>
      <c r="G29" s="45" t="b">
        <f>TRUE</f>
        <v>1</v>
      </c>
      <c r="H29" s="20" t="b">
        <f>IF(G29=FALSE,J29,TRUE)</f>
        <v>1</v>
      </c>
      <c r="I29" s="20" t="b">
        <f>FALSE</f>
        <v>0</v>
      </c>
      <c r="J29" s="45" t="b">
        <f t="shared" ref="J29:J43" si="6">NOT(I29)</f>
        <v>1</v>
      </c>
    </row>
    <row r="30" spans="1:10" x14ac:dyDescent="0.3">
      <c r="C30" s="45" t="b">
        <f>TRUE</f>
        <v>1</v>
      </c>
      <c r="D30" s="20" t="b">
        <f t="shared" si="4"/>
        <v>1</v>
      </c>
      <c r="E30" s="45" t="b">
        <f>TRUE</f>
        <v>1</v>
      </c>
      <c r="F30" s="20" t="b">
        <f t="shared" si="5"/>
        <v>0</v>
      </c>
      <c r="G30" s="45" t="b">
        <f>FALSE</f>
        <v>0</v>
      </c>
      <c r="H30" s="20" t="b">
        <f t="shared" ref="H30:H43" si="7">IF(G30=FALSE,J30,TRUE)</f>
        <v>0</v>
      </c>
      <c r="I30" s="20" t="b">
        <f>TRUE</f>
        <v>1</v>
      </c>
      <c r="J30" s="45" t="b">
        <f t="shared" si="6"/>
        <v>0</v>
      </c>
    </row>
    <row r="31" spans="1:10" x14ac:dyDescent="0.3">
      <c r="C31" s="45" t="b">
        <f>TRUE</f>
        <v>1</v>
      </c>
      <c r="D31" s="20" t="b">
        <f t="shared" si="4"/>
        <v>1</v>
      </c>
      <c r="E31" s="45" t="b">
        <f>TRUE</f>
        <v>1</v>
      </c>
      <c r="F31" s="20" t="b">
        <f t="shared" si="5"/>
        <v>1</v>
      </c>
      <c r="G31" s="45" t="b">
        <f>FALSE</f>
        <v>0</v>
      </c>
      <c r="H31" s="20" t="b">
        <f t="shared" si="7"/>
        <v>1</v>
      </c>
      <c r="I31" s="20" t="b">
        <f>FALSE</f>
        <v>0</v>
      </c>
      <c r="J31" s="45" t="b">
        <f t="shared" si="6"/>
        <v>1</v>
      </c>
    </row>
    <row r="32" spans="1:10" x14ac:dyDescent="0.3">
      <c r="C32" s="45" t="b">
        <f>TRUE</f>
        <v>1</v>
      </c>
      <c r="D32" s="20" t="b">
        <f t="shared" si="4"/>
        <v>0</v>
      </c>
      <c r="E32" s="45" t="b">
        <f>FALSE</f>
        <v>0</v>
      </c>
      <c r="F32" s="20" t="b">
        <f t="shared" si="5"/>
        <v>1</v>
      </c>
      <c r="G32" s="45" t="b">
        <f>TRUE</f>
        <v>1</v>
      </c>
      <c r="H32" s="20" t="b">
        <f t="shared" si="7"/>
        <v>1</v>
      </c>
      <c r="I32" s="20" t="b">
        <f>TRUE</f>
        <v>1</v>
      </c>
      <c r="J32" s="45" t="b">
        <f t="shared" si="6"/>
        <v>0</v>
      </c>
    </row>
    <row r="33" spans="3:10" x14ac:dyDescent="0.3">
      <c r="C33" s="45" t="b">
        <f>TRUE</f>
        <v>1</v>
      </c>
      <c r="D33" s="20" t="b">
        <f t="shared" si="4"/>
        <v>0</v>
      </c>
      <c r="E33" s="45" t="b">
        <f>FALSE</f>
        <v>0</v>
      </c>
      <c r="F33" s="20" t="b">
        <f t="shared" si="5"/>
        <v>1</v>
      </c>
      <c r="G33" s="45" t="b">
        <f>TRUE</f>
        <v>1</v>
      </c>
      <c r="H33" s="20" t="b">
        <f t="shared" si="7"/>
        <v>1</v>
      </c>
      <c r="I33" s="20" t="b">
        <f>FALSE</f>
        <v>0</v>
      </c>
      <c r="J33" s="45" t="b">
        <f t="shared" si="6"/>
        <v>1</v>
      </c>
    </row>
    <row r="34" spans="3:10" x14ac:dyDescent="0.3">
      <c r="C34" s="45" t="b">
        <f>TRUE</f>
        <v>1</v>
      </c>
      <c r="D34" s="20" t="b">
        <f t="shared" si="4"/>
        <v>0</v>
      </c>
      <c r="E34" s="45" t="b">
        <f>FALSE</f>
        <v>0</v>
      </c>
      <c r="F34" s="20" t="b">
        <f t="shared" si="5"/>
        <v>1</v>
      </c>
      <c r="G34" s="45" t="b">
        <f>FALSE</f>
        <v>0</v>
      </c>
      <c r="H34" s="20" t="b">
        <f t="shared" si="7"/>
        <v>0</v>
      </c>
      <c r="I34" s="20" t="b">
        <f>TRUE</f>
        <v>1</v>
      </c>
      <c r="J34" s="45" t="b">
        <f t="shared" si="6"/>
        <v>0</v>
      </c>
    </row>
    <row r="35" spans="3:10" x14ac:dyDescent="0.3">
      <c r="C35" s="45" t="b">
        <f>TRUE</f>
        <v>1</v>
      </c>
      <c r="D35" s="20" t="b">
        <f t="shared" si="4"/>
        <v>0</v>
      </c>
      <c r="E35" s="45" t="b">
        <f>FALSE</f>
        <v>0</v>
      </c>
      <c r="F35" s="20" t="b">
        <f t="shared" si="5"/>
        <v>1</v>
      </c>
      <c r="G35" s="45" t="b">
        <f>FALSE</f>
        <v>0</v>
      </c>
      <c r="H35" s="20" t="b">
        <f t="shared" si="7"/>
        <v>1</v>
      </c>
      <c r="I35" s="20" t="b">
        <f>FALSE</f>
        <v>0</v>
      </c>
      <c r="J35" s="45" t="b">
        <f t="shared" si="6"/>
        <v>1</v>
      </c>
    </row>
    <row r="36" spans="3:10" x14ac:dyDescent="0.3">
      <c r="C36" s="45" t="b">
        <f>FALSE</f>
        <v>0</v>
      </c>
      <c r="D36" s="20" t="b">
        <f t="shared" si="4"/>
        <v>0</v>
      </c>
      <c r="E36" s="45" t="b">
        <f>TRUE</f>
        <v>1</v>
      </c>
      <c r="F36" s="20" t="b">
        <f t="shared" si="5"/>
        <v>1</v>
      </c>
      <c r="G36" s="45" t="b">
        <f>TRUE</f>
        <v>1</v>
      </c>
      <c r="H36" s="20" t="b">
        <f t="shared" si="7"/>
        <v>1</v>
      </c>
      <c r="I36" s="20" t="b">
        <f>TRUE</f>
        <v>1</v>
      </c>
      <c r="J36" s="45" t="b">
        <f t="shared" si="6"/>
        <v>0</v>
      </c>
    </row>
    <row r="37" spans="3:10" x14ac:dyDescent="0.3">
      <c r="C37" s="45" t="b">
        <f>FALSE</f>
        <v>0</v>
      </c>
      <c r="D37" s="20" t="b">
        <f t="shared" si="4"/>
        <v>0</v>
      </c>
      <c r="E37" s="45" t="b">
        <f>TRUE</f>
        <v>1</v>
      </c>
      <c r="F37" s="20" t="b">
        <f t="shared" si="5"/>
        <v>1</v>
      </c>
      <c r="G37" s="45" t="b">
        <f>TRUE</f>
        <v>1</v>
      </c>
      <c r="H37" s="20" t="b">
        <f t="shared" si="7"/>
        <v>1</v>
      </c>
      <c r="I37" s="20" t="b">
        <f>FALSE</f>
        <v>0</v>
      </c>
      <c r="J37" s="45" t="b">
        <f t="shared" si="6"/>
        <v>1</v>
      </c>
    </row>
    <row r="38" spans="3:10" x14ac:dyDescent="0.3">
      <c r="C38" s="45" t="b">
        <f>FALSE</f>
        <v>0</v>
      </c>
      <c r="D38" s="20" t="b">
        <f t="shared" si="4"/>
        <v>0</v>
      </c>
      <c r="E38" s="45" t="b">
        <f>TRUE</f>
        <v>1</v>
      </c>
      <c r="F38" s="20" t="b">
        <f t="shared" si="5"/>
        <v>1</v>
      </c>
      <c r="G38" s="45" t="b">
        <f>FALSE</f>
        <v>0</v>
      </c>
      <c r="H38" s="20" t="b">
        <f t="shared" si="7"/>
        <v>0</v>
      </c>
      <c r="I38" s="20" t="b">
        <f>TRUE</f>
        <v>1</v>
      </c>
      <c r="J38" s="45" t="b">
        <f t="shared" si="6"/>
        <v>0</v>
      </c>
    </row>
    <row r="39" spans="3:10" x14ac:dyDescent="0.3">
      <c r="C39" s="45" t="b">
        <f>FALSE</f>
        <v>0</v>
      </c>
      <c r="D39" s="20" t="b">
        <f t="shared" si="4"/>
        <v>0</v>
      </c>
      <c r="E39" s="45" t="b">
        <f>TRUE</f>
        <v>1</v>
      </c>
      <c r="F39" s="20" t="b">
        <f t="shared" si="5"/>
        <v>1</v>
      </c>
      <c r="G39" s="45" t="b">
        <f>FALSE</f>
        <v>0</v>
      </c>
      <c r="H39" s="20" t="b">
        <f t="shared" si="7"/>
        <v>1</v>
      </c>
      <c r="I39" s="20" t="b">
        <f>FALSE</f>
        <v>0</v>
      </c>
      <c r="J39" s="45" t="b">
        <f t="shared" si="6"/>
        <v>1</v>
      </c>
    </row>
    <row r="40" spans="3:10" x14ac:dyDescent="0.3">
      <c r="C40" s="45" t="b">
        <f>FALSE</f>
        <v>0</v>
      </c>
      <c r="D40" s="20" t="b">
        <f t="shared" si="4"/>
        <v>0</v>
      </c>
      <c r="E40" s="45" t="b">
        <f>FALSE</f>
        <v>0</v>
      </c>
      <c r="F40" s="20" t="b">
        <f t="shared" si="5"/>
        <v>1</v>
      </c>
      <c r="G40" s="45" t="b">
        <f>TRUE</f>
        <v>1</v>
      </c>
      <c r="H40" s="20" t="b">
        <f t="shared" si="7"/>
        <v>1</v>
      </c>
      <c r="I40" s="20" t="b">
        <f>TRUE</f>
        <v>1</v>
      </c>
      <c r="J40" s="45" t="b">
        <f t="shared" si="6"/>
        <v>0</v>
      </c>
    </row>
    <row r="41" spans="3:10" x14ac:dyDescent="0.3">
      <c r="C41" s="45" t="b">
        <f>FALSE</f>
        <v>0</v>
      </c>
      <c r="D41" s="20" t="b">
        <f t="shared" si="4"/>
        <v>0</v>
      </c>
      <c r="E41" s="45" t="b">
        <f>FALSE</f>
        <v>0</v>
      </c>
      <c r="F41" s="20" t="b">
        <f t="shared" si="5"/>
        <v>1</v>
      </c>
      <c r="G41" s="45" t="b">
        <f>TRUE</f>
        <v>1</v>
      </c>
      <c r="H41" s="20" t="b">
        <f t="shared" si="7"/>
        <v>1</v>
      </c>
      <c r="I41" s="20" t="b">
        <f>FALSE</f>
        <v>0</v>
      </c>
      <c r="J41" s="45" t="b">
        <f t="shared" si="6"/>
        <v>1</v>
      </c>
    </row>
    <row r="42" spans="3:10" x14ac:dyDescent="0.3">
      <c r="C42" s="45" t="b">
        <f>FALSE</f>
        <v>0</v>
      </c>
      <c r="D42" s="20" t="b">
        <f t="shared" si="4"/>
        <v>0</v>
      </c>
      <c r="E42" s="45" t="b">
        <f>FALSE</f>
        <v>0</v>
      </c>
      <c r="F42" s="20" t="b">
        <f t="shared" si="5"/>
        <v>1</v>
      </c>
      <c r="G42" s="45" t="b">
        <f>FALSE</f>
        <v>0</v>
      </c>
      <c r="H42" s="20" t="b">
        <f t="shared" si="7"/>
        <v>0</v>
      </c>
      <c r="I42" s="20" t="b">
        <f>TRUE</f>
        <v>1</v>
      </c>
      <c r="J42" s="45" t="b">
        <f t="shared" si="6"/>
        <v>0</v>
      </c>
    </row>
    <row r="43" spans="3:10" x14ac:dyDescent="0.3">
      <c r="C43" s="45" t="b">
        <f>FALSE</f>
        <v>0</v>
      </c>
      <c r="D43" s="20" t="b">
        <f t="shared" si="4"/>
        <v>0</v>
      </c>
      <c r="E43" s="45" t="b">
        <f>FALSE</f>
        <v>0</v>
      </c>
      <c r="F43" s="20" t="b">
        <f t="shared" si="5"/>
        <v>1</v>
      </c>
      <c r="G43" s="45" t="b">
        <f>FALSE</f>
        <v>0</v>
      </c>
      <c r="H43" s="20" t="b">
        <f t="shared" si="7"/>
        <v>1</v>
      </c>
      <c r="I43" s="20" t="b">
        <f>FALSE</f>
        <v>0</v>
      </c>
      <c r="J43" s="45" t="b">
        <f t="shared" si="6"/>
        <v>1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59FED-2D52-4EB8-BD97-F702AE8614A2}">
  <dimension ref="A1:J33"/>
  <sheetViews>
    <sheetView topLeftCell="A37" zoomScaleNormal="100" workbookViewId="0">
      <selection activeCell="K60" sqref="K60"/>
    </sheetView>
  </sheetViews>
  <sheetFormatPr baseColWidth="10" defaultRowHeight="14.4" x14ac:dyDescent="0.3"/>
  <sheetData>
    <row r="1" spans="1:7" x14ac:dyDescent="0.3">
      <c r="A1" t="s">
        <v>151</v>
      </c>
    </row>
    <row r="2" spans="1:7" x14ac:dyDescent="0.3">
      <c r="A2" t="s">
        <v>152</v>
      </c>
    </row>
    <row r="3" spans="1:7" x14ac:dyDescent="0.3">
      <c r="C3" s="47" t="s">
        <v>5</v>
      </c>
      <c r="D3" s="20" t="s">
        <v>10</v>
      </c>
      <c r="E3" s="47" t="s">
        <v>7</v>
      </c>
      <c r="F3" s="20" t="s">
        <v>145</v>
      </c>
      <c r="G3" s="47" t="s">
        <v>57</v>
      </c>
    </row>
    <row r="4" spans="1:7" x14ac:dyDescent="0.3">
      <c r="C4" s="47" t="b">
        <f>TRUE</f>
        <v>1</v>
      </c>
      <c r="D4" s="20" t="b">
        <f>IF(C4,E4,FALSE)</f>
        <v>1</v>
      </c>
      <c r="E4" s="47" t="b">
        <f>TRUE</f>
        <v>1</v>
      </c>
      <c r="F4" s="20" t="b">
        <f>IF(E4=G4,TRUE,FALSE)</f>
        <v>1</v>
      </c>
      <c r="G4" s="47" t="b">
        <f>TRUE</f>
        <v>1</v>
      </c>
    </row>
    <row r="5" spans="1:7" x14ac:dyDescent="0.3">
      <c r="C5" s="47" t="b">
        <f>TRUE</f>
        <v>1</v>
      </c>
      <c r="D5" s="20" t="b">
        <f t="shared" ref="D5:D11" si="0">IF(C5,E5,FALSE)</f>
        <v>1</v>
      </c>
      <c r="E5" s="47" t="b">
        <f>TRUE</f>
        <v>1</v>
      </c>
      <c r="F5" s="20" t="b">
        <f t="shared" ref="F5:F11" si="1">IF(E5=G5,TRUE,FALSE)</f>
        <v>0</v>
      </c>
      <c r="G5" s="47" t="b">
        <f>FALSE</f>
        <v>0</v>
      </c>
    </row>
    <row r="6" spans="1:7" x14ac:dyDescent="0.3">
      <c r="C6" s="47" t="b">
        <f>TRUE</f>
        <v>1</v>
      </c>
      <c r="D6" s="20" t="b">
        <f t="shared" si="0"/>
        <v>0</v>
      </c>
      <c r="E6" s="47" t="b">
        <f>FALSE</f>
        <v>0</v>
      </c>
      <c r="F6" s="20" t="b">
        <f t="shared" si="1"/>
        <v>0</v>
      </c>
      <c r="G6" s="47" t="b">
        <f>TRUE</f>
        <v>1</v>
      </c>
    </row>
    <row r="7" spans="1:7" x14ac:dyDescent="0.3">
      <c r="C7" s="47" t="b">
        <f>TRUE</f>
        <v>1</v>
      </c>
      <c r="D7" s="20" t="b">
        <f t="shared" si="0"/>
        <v>0</v>
      </c>
      <c r="E7" s="47" t="b">
        <f>FALSE</f>
        <v>0</v>
      </c>
      <c r="F7" s="20" t="b">
        <f t="shared" si="1"/>
        <v>1</v>
      </c>
      <c r="G7" s="47" t="b">
        <f>FALSE</f>
        <v>0</v>
      </c>
    </row>
    <row r="8" spans="1:7" x14ac:dyDescent="0.3">
      <c r="C8" s="47" t="b">
        <f>FALSE</f>
        <v>0</v>
      </c>
      <c r="D8" s="20" t="b">
        <f t="shared" si="0"/>
        <v>0</v>
      </c>
      <c r="E8" s="47" t="b">
        <f>TRUE</f>
        <v>1</v>
      </c>
      <c r="F8" s="20" t="b">
        <f t="shared" si="1"/>
        <v>1</v>
      </c>
      <c r="G8" s="47" t="b">
        <f>TRUE</f>
        <v>1</v>
      </c>
    </row>
    <row r="9" spans="1:7" x14ac:dyDescent="0.3">
      <c r="C9" s="47" t="b">
        <f>FALSE</f>
        <v>0</v>
      </c>
      <c r="D9" s="20" t="b">
        <f t="shared" si="0"/>
        <v>0</v>
      </c>
      <c r="E9" s="47" t="b">
        <f>TRUE</f>
        <v>1</v>
      </c>
      <c r="F9" s="20" t="b">
        <f t="shared" si="1"/>
        <v>0</v>
      </c>
      <c r="G9" s="47" t="b">
        <f>FALSE</f>
        <v>0</v>
      </c>
    </row>
    <row r="10" spans="1:7" x14ac:dyDescent="0.3">
      <c r="C10" s="47" t="b">
        <f>FALSE</f>
        <v>0</v>
      </c>
      <c r="D10" s="20" t="b">
        <f t="shared" si="0"/>
        <v>0</v>
      </c>
      <c r="E10" s="47" t="b">
        <f>FALSE</f>
        <v>0</v>
      </c>
      <c r="F10" s="20" t="b">
        <f t="shared" si="1"/>
        <v>0</v>
      </c>
      <c r="G10" s="47" t="b">
        <f>TRUE</f>
        <v>1</v>
      </c>
    </row>
    <row r="11" spans="1:7" x14ac:dyDescent="0.3">
      <c r="C11" s="47" t="b">
        <f>FALSE</f>
        <v>0</v>
      </c>
      <c r="D11" s="20" t="b">
        <f t="shared" si="0"/>
        <v>0</v>
      </c>
      <c r="E11" s="47" t="b">
        <f>FALSE</f>
        <v>0</v>
      </c>
      <c r="F11" s="20" t="b">
        <f t="shared" si="1"/>
        <v>1</v>
      </c>
      <c r="G11" s="47" t="b">
        <f>FALSE</f>
        <v>0</v>
      </c>
    </row>
    <row r="15" spans="1:7" x14ac:dyDescent="0.3">
      <c r="A15" t="s">
        <v>155</v>
      </c>
    </row>
    <row r="16" spans="1:7" x14ac:dyDescent="0.3">
      <c r="A16" t="s">
        <v>156</v>
      </c>
    </row>
    <row r="17" spans="3:10" x14ac:dyDescent="0.3">
      <c r="C17" s="47" t="s">
        <v>5</v>
      </c>
      <c r="D17" s="20" t="s">
        <v>6</v>
      </c>
      <c r="E17" s="47" t="s">
        <v>7</v>
      </c>
      <c r="F17" s="20" t="s">
        <v>150</v>
      </c>
      <c r="G17" s="47" t="s">
        <v>57</v>
      </c>
      <c r="H17" s="20" t="s">
        <v>10</v>
      </c>
      <c r="I17" s="20" t="s">
        <v>61</v>
      </c>
      <c r="J17" s="47" t="s">
        <v>146</v>
      </c>
    </row>
    <row r="18" spans="3:10" x14ac:dyDescent="0.3">
      <c r="C18" s="47" t="b">
        <f>TRUE</f>
        <v>1</v>
      </c>
      <c r="D18" s="20" t="b">
        <f>IF(C18=FALSE,E18,TRUE)</f>
        <v>1</v>
      </c>
      <c r="E18" s="47" t="b">
        <f>TRUE</f>
        <v>1</v>
      </c>
      <c r="F18" s="20" t="b">
        <f>IF(E18=H18,TRUE,FALSE)</f>
        <v>0</v>
      </c>
      <c r="G18" s="47" t="b">
        <f>TRUE</f>
        <v>1</v>
      </c>
      <c r="H18" s="20" t="b">
        <f>IF(G18,J18,FALSE)</f>
        <v>0</v>
      </c>
      <c r="I18" s="20" t="b">
        <f>TRUE</f>
        <v>1</v>
      </c>
      <c r="J18" s="45" t="b">
        <f>NOT((I18))</f>
        <v>0</v>
      </c>
    </row>
    <row r="19" spans="3:10" x14ac:dyDescent="0.3">
      <c r="C19" s="47" t="b">
        <f>TRUE</f>
        <v>1</v>
      </c>
      <c r="D19" s="20" t="b">
        <f t="shared" ref="D19:D33" si="2">IF(C19=FALSE,E19,TRUE)</f>
        <v>1</v>
      </c>
      <c r="E19" s="47" t="b">
        <f>TRUE</f>
        <v>1</v>
      </c>
      <c r="F19" s="20" t="b">
        <f t="shared" ref="F19:F33" si="3">IF(E19=H19,TRUE,FALSE)</f>
        <v>1</v>
      </c>
      <c r="G19" s="47" t="b">
        <f>TRUE</f>
        <v>1</v>
      </c>
      <c r="H19" s="20" t="b">
        <f t="shared" ref="H19:H33" si="4">IF(G19,J19,FALSE)</f>
        <v>1</v>
      </c>
      <c r="I19" s="20" t="b">
        <f>FALSE</f>
        <v>0</v>
      </c>
      <c r="J19" s="45" t="b">
        <f t="shared" ref="J19:J33" si="5">NOT((I19))</f>
        <v>1</v>
      </c>
    </row>
    <row r="20" spans="3:10" x14ac:dyDescent="0.3">
      <c r="C20" s="47" t="b">
        <f>TRUE</f>
        <v>1</v>
      </c>
      <c r="D20" s="20" t="b">
        <f t="shared" si="2"/>
        <v>1</v>
      </c>
      <c r="E20" s="47" t="b">
        <f>TRUE</f>
        <v>1</v>
      </c>
      <c r="F20" s="20" t="b">
        <f t="shared" si="3"/>
        <v>0</v>
      </c>
      <c r="G20" s="47" t="b">
        <f>FALSE</f>
        <v>0</v>
      </c>
      <c r="H20" s="20" t="b">
        <f t="shared" si="4"/>
        <v>0</v>
      </c>
      <c r="I20" s="20" t="b">
        <f>TRUE</f>
        <v>1</v>
      </c>
      <c r="J20" s="45" t="b">
        <f t="shared" si="5"/>
        <v>0</v>
      </c>
    </row>
    <row r="21" spans="3:10" x14ac:dyDescent="0.3">
      <c r="C21" s="47" t="b">
        <f>TRUE</f>
        <v>1</v>
      </c>
      <c r="D21" s="20" t="b">
        <f t="shared" si="2"/>
        <v>1</v>
      </c>
      <c r="E21" s="47" t="b">
        <f>TRUE</f>
        <v>1</v>
      </c>
      <c r="F21" s="20" t="b">
        <f t="shared" si="3"/>
        <v>0</v>
      </c>
      <c r="G21" s="47" t="b">
        <f>FALSE</f>
        <v>0</v>
      </c>
      <c r="H21" s="20" t="b">
        <f t="shared" si="4"/>
        <v>0</v>
      </c>
      <c r="I21" s="20" t="b">
        <f>FALSE</f>
        <v>0</v>
      </c>
      <c r="J21" s="45" t="b">
        <f t="shared" si="5"/>
        <v>1</v>
      </c>
    </row>
    <row r="22" spans="3:10" x14ac:dyDescent="0.3">
      <c r="C22" s="47" t="b">
        <f>TRUE</f>
        <v>1</v>
      </c>
      <c r="D22" s="20" t="b">
        <f t="shared" si="2"/>
        <v>1</v>
      </c>
      <c r="E22" s="47" t="b">
        <f>FALSE</f>
        <v>0</v>
      </c>
      <c r="F22" s="20" t="b">
        <f t="shared" si="3"/>
        <v>1</v>
      </c>
      <c r="G22" s="47" t="b">
        <f>TRUE</f>
        <v>1</v>
      </c>
      <c r="H22" s="20" t="b">
        <f t="shared" si="4"/>
        <v>0</v>
      </c>
      <c r="I22" s="20" t="b">
        <f>TRUE</f>
        <v>1</v>
      </c>
      <c r="J22" s="45" t="b">
        <f t="shared" si="5"/>
        <v>0</v>
      </c>
    </row>
    <row r="23" spans="3:10" x14ac:dyDescent="0.3">
      <c r="C23" s="47" t="b">
        <f>TRUE</f>
        <v>1</v>
      </c>
      <c r="D23" s="20" t="b">
        <f t="shared" si="2"/>
        <v>1</v>
      </c>
      <c r="E23" s="47" t="b">
        <f>FALSE</f>
        <v>0</v>
      </c>
      <c r="F23" s="20" t="b">
        <f t="shared" si="3"/>
        <v>0</v>
      </c>
      <c r="G23" s="47" t="b">
        <f>TRUE</f>
        <v>1</v>
      </c>
      <c r="H23" s="20" t="b">
        <f t="shared" si="4"/>
        <v>1</v>
      </c>
      <c r="I23" s="20" t="b">
        <f>FALSE</f>
        <v>0</v>
      </c>
      <c r="J23" s="45" t="b">
        <f t="shared" si="5"/>
        <v>1</v>
      </c>
    </row>
    <row r="24" spans="3:10" x14ac:dyDescent="0.3">
      <c r="C24" s="47" t="b">
        <f>TRUE</f>
        <v>1</v>
      </c>
      <c r="D24" s="20" t="b">
        <f t="shared" si="2"/>
        <v>1</v>
      </c>
      <c r="E24" s="47" t="b">
        <f>FALSE</f>
        <v>0</v>
      </c>
      <c r="F24" s="20" t="b">
        <f t="shared" si="3"/>
        <v>1</v>
      </c>
      <c r="G24" s="47" t="b">
        <f>FALSE</f>
        <v>0</v>
      </c>
      <c r="H24" s="20" t="b">
        <f t="shared" si="4"/>
        <v>0</v>
      </c>
      <c r="I24" s="20" t="b">
        <f>TRUE</f>
        <v>1</v>
      </c>
      <c r="J24" s="45" t="b">
        <f t="shared" si="5"/>
        <v>0</v>
      </c>
    </row>
    <row r="25" spans="3:10" x14ac:dyDescent="0.3">
      <c r="C25" s="47" t="b">
        <f>TRUE</f>
        <v>1</v>
      </c>
      <c r="D25" s="20" t="b">
        <f t="shared" si="2"/>
        <v>1</v>
      </c>
      <c r="E25" s="47" t="b">
        <f>FALSE</f>
        <v>0</v>
      </c>
      <c r="F25" s="20" t="b">
        <f t="shared" si="3"/>
        <v>1</v>
      </c>
      <c r="G25" s="47" t="b">
        <f>FALSE</f>
        <v>0</v>
      </c>
      <c r="H25" s="20" t="b">
        <f t="shared" si="4"/>
        <v>0</v>
      </c>
      <c r="I25" s="20" t="b">
        <f>FALSE</f>
        <v>0</v>
      </c>
      <c r="J25" s="45" t="b">
        <f t="shared" si="5"/>
        <v>1</v>
      </c>
    </row>
    <row r="26" spans="3:10" x14ac:dyDescent="0.3">
      <c r="C26" s="47" t="b">
        <f>FALSE</f>
        <v>0</v>
      </c>
      <c r="D26" s="20" t="b">
        <f t="shared" si="2"/>
        <v>1</v>
      </c>
      <c r="E26" s="47" t="b">
        <f>TRUE</f>
        <v>1</v>
      </c>
      <c r="F26" s="20" t="b">
        <f t="shared" si="3"/>
        <v>0</v>
      </c>
      <c r="G26" s="47" t="b">
        <f>TRUE</f>
        <v>1</v>
      </c>
      <c r="H26" s="20" t="b">
        <f t="shared" si="4"/>
        <v>0</v>
      </c>
      <c r="I26" s="20" t="b">
        <f>TRUE</f>
        <v>1</v>
      </c>
      <c r="J26" s="45" t="b">
        <f t="shared" si="5"/>
        <v>0</v>
      </c>
    </row>
    <row r="27" spans="3:10" x14ac:dyDescent="0.3">
      <c r="C27" s="47" t="b">
        <f>FALSE</f>
        <v>0</v>
      </c>
      <c r="D27" s="20" t="b">
        <f t="shared" si="2"/>
        <v>1</v>
      </c>
      <c r="E27" s="47" t="b">
        <f>TRUE</f>
        <v>1</v>
      </c>
      <c r="F27" s="20" t="b">
        <f t="shared" si="3"/>
        <v>1</v>
      </c>
      <c r="G27" s="47" t="b">
        <f>TRUE</f>
        <v>1</v>
      </c>
      <c r="H27" s="20" t="b">
        <f t="shared" si="4"/>
        <v>1</v>
      </c>
      <c r="I27" s="20" t="b">
        <f>FALSE</f>
        <v>0</v>
      </c>
      <c r="J27" s="45" t="b">
        <f t="shared" si="5"/>
        <v>1</v>
      </c>
    </row>
    <row r="28" spans="3:10" x14ac:dyDescent="0.3">
      <c r="C28" s="47" t="b">
        <f>FALSE</f>
        <v>0</v>
      </c>
      <c r="D28" s="20" t="b">
        <f t="shared" si="2"/>
        <v>1</v>
      </c>
      <c r="E28" s="47" t="b">
        <f>TRUE</f>
        <v>1</v>
      </c>
      <c r="F28" s="20" t="b">
        <f t="shared" si="3"/>
        <v>0</v>
      </c>
      <c r="G28" s="47" t="b">
        <f>FALSE</f>
        <v>0</v>
      </c>
      <c r="H28" s="20" t="b">
        <f t="shared" si="4"/>
        <v>0</v>
      </c>
      <c r="I28" s="20" t="b">
        <f>TRUE</f>
        <v>1</v>
      </c>
      <c r="J28" s="45" t="b">
        <f t="shared" si="5"/>
        <v>0</v>
      </c>
    </row>
    <row r="29" spans="3:10" x14ac:dyDescent="0.3">
      <c r="C29" s="47" t="b">
        <f>FALSE</f>
        <v>0</v>
      </c>
      <c r="D29" s="20" t="b">
        <f t="shared" si="2"/>
        <v>1</v>
      </c>
      <c r="E29" s="47" t="b">
        <f>TRUE</f>
        <v>1</v>
      </c>
      <c r="F29" s="20" t="b">
        <f t="shared" si="3"/>
        <v>0</v>
      </c>
      <c r="G29" s="47" t="b">
        <f>FALSE</f>
        <v>0</v>
      </c>
      <c r="H29" s="20" t="b">
        <f t="shared" si="4"/>
        <v>0</v>
      </c>
      <c r="I29" s="20" t="b">
        <f>FALSE</f>
        <v>0</v>
      </c>
      <c r="J29" s="45" t="b">
        <f t="shared" si="5"/>
        <v>1</v>
      </c>
    </row>
    <row r="30" spans="3:10" x14ac:dyDescent="0.3">
      <c r="C30" s="47" t="b">
        <f>FALSE</f>
        <v>0</v>
      </c>
      <c r="D30" s="20" t="b">
        <f t="shared" si="2"/>
        <v>0</v>
      </c>
      <c r="E30" s="47" t="b">
        <f>FALSE</f>
        <v>0</v>
      </c>
      <c r="F30" s="20" t="b">
        <f t="shared" si="3"/>
        <v>1</v>
      </c>
      <c r="G30" s="47" t="b">
        <f>TRUE</f>
        <v>1</v>
      </c>
      <c r="H30" s="20" t="b">
        <f t="shared" si="4"/>
        <v>0</v>
      </c>
      <c r="I30" s="20" t="b">
        <f>TRUE</f>
        <v>1</v>
      </c>
      <c r="J30" s="45" t="b">
        <f t="shared" si="5"/>
        <v>0</v>
      </c>
    </row>
    <row r="31" spans="3:10" x14ac:dyDescent="0.3">
      <c r="C31" s="47" t="b">
        <f>FALSE</f>
        <v>0</v>
      </c>
      <c r="D31" s="20" t="b">
        <f t="shared" si="2"/>
        <v>0</v>
      </c>
      <c r="E31" s="47" t="b">
        <f>FALSE</f>
        <v>0</v>
      </c>
      <c r="F31" s="20" t="b">
        <f t="shared" si="3"/>
        <v>0</v>
      </c>
      <c r="G31" s="47" t="b">
        <f>TRUE</f>
        <v>1</v>
      </c>
      <c r="H31" s="20" t="b">
        <f t="shared" si="4"/>
        <v>1</v>
      </c>
      <c r="I31" s="20" t="b">
        <f>FALSE</f>
        <v>0</v>
      </c>
      <c r="J31" s="45" t="b">
        <f t="shared" si="5"/>
        <v>1</v>
      </c>
    </row>
    <row r="32" spans="3:10" x14ac:dyDescent="0.3">
      <c r="C32" s="47" t="b">
        <f>FALSE</f>
        <v>0</v>
      </c>
      <c r="D32" s="20" t="b">
        <f t="shared" si="2"/>
        <v>0</v>
      </c>
      <c r="E32" s="47" t="b">
        <f>FALSE</f>
        <v>0</v>
      </c>
      <c r="F32" s="20" t="b">
        <f t="shared" si="3"/>
        <v>1</v>
      </c>
      <c r="G32" s="47" t="b">
        <f>FALSE</f>
        <v>0</v>
      </c>
      <c r="H32" s="20" t="b">
        <f t="shared" si="4"/>
        <v>0</v>
      </c>
      <c r="I32" s="20" t="b">
        <f>TRUE</f>
        <v>1</v>
      </c>
      <c r="J32" s="45" t="b">
        <f t="shared" si="5"/>
        <v>0</v>
      </c>
    </row>
    <row r="33" spans="3:10" x14ac:dyDescent="0.3">
      <c r="C33" s="47" t="b">
        <f>FALSE</f>
        <v>0</v>
      </c>
      <c r="D33" s="20" t="b">
        <f t="shared" si="2"/>
        <v>0</v>
      </c>
      <c r="E33" s="47" t="b">
        <f>FALSE</f>
        <v>0</v>
      </c>
      <c r="F33" s="20" t="b">
        <f t="shared" si="3"/>
        <v>1</v>
      </c>
      <c r="G33" s="47" t="b">
        <f>FALSE</f>
        <v>0</v>
      </c>
      <c r="H33" s="20" t="b">
        <f t="shared" si="4"/>
        <v>0</v>
      </c>
      <c r="I33" s="20" t="b">
        <f>FALSE</f>
        <v>0</v>
      </c>
      <c r="J33" s="45" t="b">
        <f t="shared" si="5"/>
        <v>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79390-3A68-49AB-8CED-F83DD67EED21}">
  <dimension ref="A1:J25"/>
  <sheetViews>
    <sheetView topLeftCell="A47" workbookViewId="0">
      <selection activeCell="K67" sqref="K67"/>
    </sheetView>
  </sheetViews>
  <sheetFormatPr baseColWidth="10" defaultRowHeight="14.4" x14ac:dyDescent="0.3"/>
  <sheetData>
    <row r="1" spans="1:8" x14ac:dyDescent="0.3">
      <c r="A1" t="s">
        <v>157</v>
      </c>
    </row>
    <row r="2" spans="1:8" x14ac:dyDescent="0.3">
      <c r="A2" t="s">
        <v>158</v>
      </c>
    </row>
    <row r="4" spans="1:8" x14ac:dyDescent="0.3">
      <c r="C4" s="45" t="s">
        <v>5</v>
      </c>
      <c r="D4" s="20" t="s">
        <v>6</v>
      </c>
      <c r="E4" s="45" t="s">
        <v>7</v>
      </c>
      <c r="F4" s="20" t="s">
        <v>145</v>
      </c>
      <c r="G4" s="20" t="s">
        <v>57</v>
      </c>
      <c r="H4" s="45" t="s">
        <v>159</v>
      </c>
    </row>
    <row r="5" spans="1:8" x14ac:dyDescent="0.3">
      <c r="C5" s="45" t="b">
        <f>TRUE</f>
        <v>1</v>
      </c>
      <c r="D5" s="20" t="b">
        <f>IF(C5=FALSE,E5,TRUE)</f>
        <v>1</v>
      </c>
      <c r="E5" s="45" t="b">
        <f>TRUE</f>
        <v>1</v>
      </c>
      <c r="F5" s="20" t="b">
        <f>IF(E5=H5,TRUE,FALSE)</f>
        <v>0</v>
      </c>
      <c r="G5" s="20" t="b">
        <f>TRUE</f>
        <v>1</v>
      </c>
      <c r="H5" s="45" t="b">
        <f>NOT(G5)</f>
        <v>0</v>
      </c>
    </row>
    <row r="6" spans="1:8" x14ac:dyDescent="0.3">
      <c r="C6" s="45" t="b">
        <f>TRUE</f>
        <v>1</v>
      </c>
      <c r="D6" s="20" t="b">
        <f t="shared" ref="D6:D12" si="0">IF(C6=FALSE,E6,TRUE)</f>
        <v>1</v>
      </c>
      <c r="E6" s="45" t="b">
        <f>TRUE</f>
        <v>1</v>
      </c>
      <c r="F6" s="20" t="b">
        <f t="shared" ref="F6:F12" si="1">IF(E6=H6,TRUE,FALSE)</f>
        <v>1</v>
      </c>
      <c r="G6" s="20" t="b">
        <f>FALSE</f>
        <v>0</v>
      </c>
      <c r="H6" s="45" t="b">
        <f t="shared" ref="H6:H12" si="2">NOT(G6)</f>
        <v>1</v>
      </c>
    </row>
    <row r="7" spans="1:8" x14ac:dyDescent="0.3">
      <c r="C7" s="45" t="b">
        <f>TRUE</f>
        <v>1</v>
      </c>
      <c r="D7" s="20" t="b">
        <f t="shared" si="0"/>
        <v>1</v>
      </c>
      <c r="E7" s="45" t="b">
        <f>FALSE</f>
        <v>0</v>
      </c>
      <c r="F7" s="20" t="b">
        <f t="shared" si="1"/>
        <v>1</v>
      </c>
      <c r="G7" s="20" t="b">
        <f>TRUE</f>
        <v>1</v>
      </c>
      <c r="H7" s="45" t="b">
        <f t="shared" si="2"/>
        <v>0</v>
      </c>
    </row>
    <row r="8" spans="1:8" x14ac:dyDescent="0.3">
      <c r="C8" s="45" t="b">
        <f>TRUE</f>
        <v>1</v>
      </c>
      <c r="D8" s="20" t="b">
        <f t="shared" si="0"/>
        <v>1</v>
      </c>
      <c r="E8" s="45" t="b">
        <f>FALSE</f>
        <v>0</v>
      </c>
      <c r="F8" s="20" t="b">
        <f t="shared" si="1"/>
        <v>0</v>
      </c>
      <c r="G8" s="20" t="b">
        <f>FALSE</f>
        <v>0</v>
      </c>
      <c r="H8" s="45" t="b">
        <f t="shared" si="2"/>
        <v>1</v>
      </c>
    </row>
    <row r="9" spans="1:8" x14ac:dyDescent="0.3">
      <c r="C9" s="45" t="b">
        <f>FALSE</f>
        <v>0</v>
      </c>
      <c r="D9" s="20" t="b">
        <f t="shared" si="0"/>
        <v>1</v>
      </c>
      <c r="E9" s="45" t="b">
        <f>TRUE</f>
        <v>1</v>
      </c>
      <c r="F9" s="20" t="b">
        <f t="shared" si="1"/>
        <v>0</v>
      </c>
      <c r="G9" s="20" t="b">
        <f>TRUE</f>
        <v>1</v>
      </c>
      <c r="H9" s="45" t="b">
        <f t="shared" si="2"/>
        <v>0</v>
      </c>
    </row>
    <row r="10" spans="1:8" x14ac:dyDescent="0.3">
      <c r="C10" s="45" t="b">
        <f>FALSE</f>
        <v>0</v>
      </c>
      <c r="D10" s="20" t="b">
        <f t="shared" si="0"/>
        <v>1</v>
      </c>
      <c r="E10" s="45" t="b">
        <f>TRUE</f>
        <v>1</v>
      </c>
      <c r="F10" s="20" t="b">
        <f t="shared" si="1"/>
        <v>1</v>
      </c>
      <c r="G10" s="20" t="b">
        <f>FALSE</f>
        <v>0</v>
      </c>
      <c r="H10" s="45" t="b">
        <f t="shared" si="2"/>
        <v>1</v>
      </c>
    </row>
    <row r="11" spans="1:8" x14ac:dyDescent="0.3">
      <c r="C11" s="45" t="b">
        <f>FALSE</f>
        <v>0</v>
      </c>
      <c r="D11" s="20" t="b">
        <f t="shared" si="0"/>
        <v>0</v>
      </c>
      <c r="E11" s="45" t="b">
        <f>FALSE</f>
        <v>0</v>
      </c>
      <c r="F11" s="20" t="b">
        <f t="shared" si="1"/>
        <v>1</v>
      </c>
      <c r="G11" s="20" t="b">
        <f>TRUE</f>
        <v>1</v>
      </c>
      <c r="H11" s="45" t="b">
        <f t="shared" si="2"/>
        <v>0</v>
      </c>
    </row>
    <row r="12" spans="1:8" x14ac:dyDescent="0.3">
      <c r="C12" s="45" t="b">
        <f>FALSE</f>
        <v>0</v>
      </c>
      <c r="D12" s="20" t="b">
        <f t="shared" si="0"/>
        <v>0</v>
      </c>
      <c r="E12" s="45" t="b">
        <f>FALSE</f>
        <v>0</v>
      </c>
      <c r="F12" s="20" t="b">
        <f t="shared" si="1"/>
        <v>0</v>
      </c>
      <c r="G12" s="20" t="b">
        <f>FALSE</f>
        <v>0</v>
      </c>
      <c r="H12" s="45" t="b">
        <f t="shared" si="2"/>
        <v>1</v>
      </c>
    </row>
    <row r="14" spans="1:8" x14ac:dyDescent="0.3">
      <c r="A14" t="s">
        <v>160</v>
      </c>
    </row>
    <row r="15" spans="1:8" x14ac:dyDescent="0.3">
      <c r="A15" t="s">
        <v>162</v>
      </c>
    </row>
    <row r="17" spans="3:10" x14ac:dyDescent="0.3">
      <c r="C17" s="45" t="s">
        <v>56</v>
      </c>
      <c r="D17" s="20" t="s">
        <v>10</v>
      </c>
      <c r="E17" s="20" t="s">
        <v>7</v>
      </c>
      <c r="F17" s="45" t="s">
        <v>161</v>
      </c>
      <c r="G17" s="20" t="s">
        <v>153</v>
      </c>
      <c r="H17" s="45" t="s">
        <v>57</v>
      </c>
      <c r="I17" s="20" t="s">
        <v>10</v>
      </c>
      <c r="J17" s="45" t="s">
        <v>7</v>
      </c>
    </row>
    <row r="18" spans="3:10" x14ac:dyDescent="0.3">
      <c r="C18" s="45" t="b">
        <f>TRUE</f>
        <v>1</v>
      </c>
      <c r="D18" s="20" t="b">
        <f>IF(C18,F18,FALSE)</f>
        <v>0</v>
      </c>
      <c r="E18" s="20" t="b">
        <f>TRUE</f>
        <v>1</v>
      </c>
      <c r="F18" s="45" t="b">
        <f>NOT(E18)</f>
        <v>0</v>
      </c>
      <c r="G18" s="20" t="b">
        <f>IF(D18,I18,TRUE)</f>
        <v>1</v>
      </c>
      <c r="H18" s="45" t="b">
        <f>TRUE</f>
        <v>1</v>
      </c>
      <c r="I18" s="20" t="b">
        <f>IF(H18,J18,FALSE)</f>
        <v>1</v>
      </c>
      <c r="J18" s="45" t="b">
        <f>TRUE</f>
        <v>1</v>
      </c>
    </row>
    <row r="19" spans="3:10" x14ac:dyDescent="0.3">
      <c r="C19" s="45" t="b">
        <f>TRUE</f>
        <v>1</v>
      </c>
      <c r="D19" s="20" t="b">
        <f t="shared" ref="D19:D25" si="3">IF(C19,F19,FALSE)</f>
        <v>0</v>
      </c>
      <c r="E19" s="20" t="b">
        <f>TRUE</f>
        <v>1</v>
      </c>
      <c r="F19" s="45" t="b">
        <f t="shared" ref="F19:F25" si="4">NOT(E19)</f>
        <v>0</v>
      </c>
      <c r="G19" s="20" t="b">
        <f t="shared" ref="G19:G25" si="5">IF(D19,I19,TRUE)</f>
        <v>1</v>
      </c>
      <c r="H19" s="45" t="b">
        <f>FALSE</f>
        <v>0</v>
      </c>
      <c r="I19" s="20" t="b">
        <f t="shared" ref="I19:I25" si="6">IF(H19,J19,FALSE)</f>
        <v>0</v>
      </c>
      <c r="J19" s="45" t="b">
        <f>TRUE</f>
        <v>1</v>
      </c>
    </row>
    <row r="20" spans="3:10" x14ac:dyDescent="0.3">
      <c r="C20" s="45" t="b">
        <f>TRUE</f>
        <v>1</v>
      </c>
      <c r="D20" s="20" t="b">
        <f t="shared" si="3"/>
        <v>1</v>
      </c>
      <c r="E20" s="20" t="b">
        <f>FALSE</f>
        <v>0</v>
      </c>
      <c r="F20" s="45" t="b">
        <f t="shared" si="4"/>
        <v>1</v>
      </c>
      <c r="G20" s="20" t="b">
        <f t="shared" si="5"/>
        <v>0</v>
      </c>
      <c r="H20" s="45" t="b">
        <f>TRUE</f>
        <v>1</v>
      </c>
      <c r="I20" s="20" t="b">
        <f t="shared" si="6"/>
        <v>0</v>
      </c>
      <c r="J20" s="45" t="b">
        <f>FALSE</f>
        <v>0</v>
      </c>
    </row>
    <row r="21" spans="3:10" x14ac:dyDescent="0.3">
      <c r="C21" s="45" t="b">
        <f>TRUE</f>
        <v>1</v>
      </c>
      <c r="D21" s="20" t="b">
        <f t="shared" si="3"/>
        <v>1</v>
      </c>
      <c r="E21" s="20" t="b">
        <f>FALSE</f>
        <v>0</v>
      </c>
      <c r="F21" s="45" t="b">
        <f t="shared" si="4"/>
        <v>1</v>
      </c>
      <c r="G21" s="20" t="b">
        <f t="shared" si="5"/>
        <v>0</v>
      </c>
      <c r="H21" s="45" t="b">
        <f>FALSE</f>
        <v>0</v>
      </c>
      <c r="I21" s="20" t="b">
        <f t="shared" si="6"/>
        <v>0</v>
      </c>
      <c r="J21" s="45" t="b">
        <f>FALSE</f>
        <v>0</v>
      </c>
    </row>
    <row r="22" spans="3:10" x14ac:dyDescent="0.3">
      <c r="C22" s="45" t="b">
        <f>FALSE</f>
        <v>0</v>
      </c>
      <c r="D22" s="20" t="b">
        <f t="shared" si="3"/>
        <v>0</v>
      </c>
      <c r="E22" s="20" t="b">
        <f>TRUE</f>
        <v>1</v>
      </c>
      <c r="F22" s="45" t="b">
        <f t="shared" si="4"/>
        <v>0</v>
      </c>
      <c r="G22" s="20" t="b">
        <f t="shared" si="5"/>
        <v>1</v>
      </c>
      <c r="H22" s="45" t="b">
        <f>TRUE</f>
        <v>1</v>
      </c>
      <c r="I22" s="20" t="b">
        <f t="shared" si="6"/>
        <v>1</v>
      </c>
      <c r="J22" s="45" t="b">
        <f>TRUE</f>
        <v>1</v>
      </c>
    </row>
    <row r="23" spans="3:10" x14ac:dyDescent="0.3">
      <c r="C23" s="45" t="b">
        <f>FALSE</f>
        <v>0</v>
      </c>
      <c r="D23" s="20" t="b">
        <f t="shared" si="3"/>
        <v>0</v>
      </c>
      <c r="E23" s="20" t="b">
        <f>TRUE</f>
        <v>1</v>
      </c>
      <c r="F23" s="45" t="b">
        <f t="shared" si="4"/>
        <v>0</v>
      </c>
      <c r="G23" s="20" t="b">
        <f t="shared" si="5"/>
        <v>1</v>
      </c>
      <c r="H23" s="45" t="b">
        <f>FALSE</f>
        <v>0</v>
      </c>
      <c r="I23" s="20" t="b">
        <f t="shared" si="6"/>
        <v>0</v>
      </c>
      <c r="J23" s="45" t="b">
        <f>TRUE</f>
        <v>1</v>
      </c>
    </row>
    <row r="24" spans="3:10" x14ac:dyDescent="0.3">
      <c r="C24" s="45" t="b">
        <f>FALSE</f>
        <v>0</v>
      </c>
      <c r="D24" s="20" t="b">
        <f t="shared" si="3"/>
        <v>0</v>
      </c>
      <c r="E24" s="20" t="b">
        <f>FALSE</f>
        <v>0</v>
      </c>
      <c r="F24" s="45" t="b">
        <f t="shared" si="4"/>
        <v>1</v>
      </c>
      <c r="G24" s="20" t="b">
        <f t="shared" si="5"/>
        <v>1</v>
      </c>
      <c r="H24" s="45" t="b">
        <f>TRUE</f>
        <v>1</v>
      </c>
      <c r="I24" s="20" t="b">
        <f t="shared" si="6"/>
        <v>0</v>
      </c>
      <c r="J24" s="45" t="b">
        <f>FALSE</f>
        <v>0</v>
      </c>
    </row>
    <row r="25" spans="3:10" x14ac:dyDescent="0.3">
      <c r="C25" s="45" t="b">
        <f>FALSE</f>
        <v>0</v>
      </c>
      <c r="D25" s="20" t="b">
        <f t="shared" si="3"/>
        <v>0</v>
      </c>
      <c r="E25" s="20" t="b">
        <f>FALSE</f>
        <v>0</v>
      </c>
      <c r="F25" s="45" t="b">
        <f t="shared" si="4"/>
        <v>1</v>
      </c>
      <c r="G25" s="20" t="b">
        <f t="shared" si="5"/>
        <v>1</v>
      </c>
      <c r="H25" s="45" t="b">
        <f>FALSE</f>
        <v>0</v>
      </c>
      <c r="I25" s="20" t="b">
        <f t="shared" si="6"/>
        <v>0</v>
      </c>
      <c r="J25" s="45" t="b">
        <f>FALSE</f>
        <v>0</v>
      </c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12A29-383F-4E23-B15F-84F07577D8D1}">
  <dimension ref="A1:L26"/>
  <sheetViews>
    <sheetView tabSelected="1" topLeftCell="A47" zoomScale="115" zoomScaleNormal="115" workbookViewId="0">
      <selection activeCell="I65" sqref="I65"/>
    </sheetView>
  </sheetViews>
  <sheetFormatPr baseColWidth="10" defaultRowHeight="14.4" x14ac:dyDescent="0.3"/>
  <sheetData>
    <row r="1" spans="1:9" x14ac:dyDescent="0.3">
      <c r="A1" t="s">
        <v>163</v>
      </c>
    </row>
    <row r="2" spans="1:9" ht="15.6" x14ac:dyDescent="0.3">
      <c r="A2" s="46" t="s">
        <v>164</v>
      </c>
    </row>
    <row r="4" spans="1:9" x14ac:dyDescent="0.3">
      <c r="B4" s="45" t="s">
        <v>5</v>
      </c>
      <c r="C4" s="20" t="s">
        <v>6</v>
      </c>
      <c r="D4" s="45" t="s">
        <v>7</v>
      </c>
      <c r="E4" s="20" t="s">
        <v>154</v>
      </c>
      <c r="F4" s="20" t="s">
        <v>57</v>
      </c>
      <c r="G4" s="45" t="s">
        <v>159</v>
      </c>
    </row>
    <row r="5" spans="1:9" x14ac:dyDescent="0.3">
      <c r="B5" s="45" t="b">
        <f>TRUE</f>
        <v>1</v>
      </c>
      <c r="C5" s="20" t="b">
        <f>IF(B5=FALSE,D5,TRUE)</f>
        <v>1</v>
      </c>
      <c r="D5" s="45" t="b">
        <f>TRUE</f>
        <v>1</v>
      </c>
      <c r="E5" s="20" t="b">
        <f>IF(D5=G5,TRUE,FALSE)</f>
        <v>0</v>
      </c>
      <c r="F5" s="20" t="b">
        <f>TRUE</f>
        <v>1</v>
      </c>
      <c r="G5" s="45" t="b">
        <f>NOT(F5)</f>
        <v>0</v>
      </c>
    </row>
    <row r="6" spans="1:9" x14ac:dyDescent="0.3">
      <c r="B6" s="45" t="b">
        <f>TRUE</f>
        <v>1</v>
      </c>
      <c r="C6" s="20" t="b">
        <f t="shared" ref="C6:C12" si="0">IF(B6=FALSE,D6,TRUE)</f>
        <v>1</v>
      </c>
      <c r="D6" s="45" t="b">
        <f>TRUE</f>
        <v>1</v>
      </c>
      <c r="E6" s="20" t="b">
        <f t="shared" ref="E6:E12" si="1">IF(D6=G6,TRUE,FALSE)</f>
        <v>1</v>
      </c>
      <c r="F6" s="20" t="b">
        <f>FALSE</f>
        <v>0</v>
      </c>
      <c r="G6" s="45" t="b">
        <f t="shared" ref="G6:G12" si="2">NOT(F6)</f>
        <v>1</v>
      </c>
    </row>
    <row r="7" spans="1:9" x14ac:dyDescent="0.3">
      <c r="B7" s="45" t="b">
        <f>TRUE</f>
        <v>1</v>
      </c>
      <c r="C7" s="20" t="b">
        <f t="shared" si="0"/>
        <v>1</v>
      </c>
      <c r="D7" s="45" t="b">
        <f>FALSE</f>
        <v>0</v>
      </c>
      <c r="E7" s="20" t="b">
        <f t="shared" si="1"/>
        <v>1</v>
      </c>
      <c r="F7" s="20" t="b">
        <f>TRUE</f>
        <v>1</v>
      </c>
      <c r="G7" s="45" t="b">
        <f t="shared" si="2"/>
        <v>0</v>
      </c>
    </row>
    <row r="8" spans="1:9" x14ac:dyDescent="0.3">
      <c r="B8" s="45" t="b">
        <f>TRUE</f>
        <v>1</v>
      </c>
      <c r="C8" s="20" t="b">
        <f t="shared" si="0"/>
        <v>1</v>
      </c>
      <c r="D8" s="45" t="b">
        <f>FALSE</f>
        <v>0</v>
      </c>
      <c r="E8" s="20" t="b">
        <f t="shared" si="1"/>
        <v>0</v>
      </c>
      <c r="F8" s="20" t="b">
        <f>FALSE</f>
        <v>0</v>
      </c>
      <c r="G8" s="45" t="b">
        <f t="shared" si="2"/>
        <v>1</v>
      </c>
    </row>
    <row r="9" spans="1:9" x14ac:dyDescent="0.3">
      <c r="B9" s="45" t="b">
        <f>FALSE</f>
        <v>0</v>
      </c>
      <c r="C9" s="20" t="b">
        <f t="shared" si="0"/>
        <v>1</v>
      </c>
      <c r="D9" s="45" t="b">
        <f>TRUE</f>
        <v>1</v>
      </c>
      <c r="E9" s="20" t="b">
        <f t="shared" si="1"/>
        <v>0</v>
      </c>
      <c r="F9" s="20" t="b">
        <f>TRUE</f>
        <v>1</v>
      </c>
      <c r="G9" s="45" t="b">
        <f t="shared" si="2"/>
        <v>0</v>
      </c>
    </row>
    <row r="10" spans="1:9" x14ac:dyDescent="0.3">
      <c r="B10" s="45" t="b">
        <f>FALSE</f>
        <v>0</v>
      </c>
      <c r="C10" s="20" t="b">
        <f t="shared" si="0"/>
        <v>1</v>
      </c>
      <c r="D10" s="45" t="b">
        <f>TRUE</f>
        <v>1</v>
      </c>
      <c r="E10" s="20" t="b">
        <f t="shared" si="1"/>
        <v>1</v>
      </c>
      <c r="F10" s="20" t="b">
        <f>FALSE</f>
        <v>0</v>
      </c>
      <c r="G10" s="45" t="b">
        <f t="shared" si="2"/>
        <v>1</v>
      </c>
    </row>
    <row r="11" spans="1:9" x14ac:dyDescent="0.3">
      <c r="B11" s="45" t="b">
        <f>FALSE</f>
        <v>0</v>
      </c>
      <c r="C11" s="20" t="b">
        <f t="shared" si="0"/>
        <v>0</v>
      </c>
      <c r="D11" s="45" t="b">
        <f>FALSE</f>
        <v>0</v>
      </c>
      <c r="E11" s="20" t="b">
        <f t="shared" si="1"/>
        <v>1</v>
      </c>
      <c r="F11" s="20" t="b">
        <f>TRUE</f>
        <v>1</v>
      </c>
      <c r="G11" s="45" t="b">
        <f t="shared" si="2"/>
        <v>0</v>
      </c>
    </row>
    <row r="12" spans="1:9" x14ac:dyDescent="0.3">
      <c r="B12" s="45" t="b">
        <f>FALSE</f>
        <v>0</v>
      </c>
      <c r="C12" s="20" t="b">
        <f t="shared" si="0"/>
        <v>0</v>
      </c>
      <c r="D12" s="45" t="b">
        <f>FALSE</f>
        <v>0</v>
      </c>
      <c r="E12" s="20" t="b">
        <f t="shared" si="1"/>
        <v>0</v>
      </c>
      <c r="F12" s="20" t="b">
        <f>FALSE</f>
        <v>0</v>
      </c>
      <c r="G12" s="45" t="b">
        <f t="shared" si="2"/>
        <v>1</v>
      </c>
    </row>
    <row r="14" spans="1:9" x14ac:dyDescent="0.3">
      <c r="A14" t="s">
        <v>165</v>
      </c>
    </row>
    <row r="15" spans="1:9" x14ac:dyDescent="0.3">
      <c r="A15" t="s">
        <v>166</v>
      </c>
    </row>
    <row r="16" spans="1:9" x14ac:dyDescent="0.3">
      <c r="C16" s="45" t="s">
        <v>5</v>
      </c>
      <c r="D16" s="20" t="s">
        <v>10</v>
      </c>
      <c r="E16" s="45" t="s">
        <v>7</v>
      </c>
      <c r="F16" s="20" t="s">
        <v>150</v>
      </c>
      <c r="G16" s="45" t="s">
        <v>57</v>
      </c>
      <c r="H16" s="20" t="s">
        <v>145</v>
      </c>
      <c r="I16" s="45" t="s">
        <v>5</v>
      </c>
    </row>
    <row r="17" spans="3:12" x14ac:dyDescent="0.3">
      <c r="C17" s="45" t="b">
        <f>TRUE</f>
        <v>1</v>
      </c>
      <c r="D17" s="20" t="b">
        <f>IF(C17,E17,FALSE)</f>
        <v>1</v>
      </c>
      <c r="E17" s="45" t="b">
        <f>TRUE</f>
        <v>1</v>
      </c>
      <c r="F17" s="20" t="b">
        <f>IF(D17,H17,TRUE)</f>
        <v>1</v>
      </c>
      <c r="G17" s="45" t="b">
        <f>TRUE</f>
        <v>1</v>
      </c>
      <c r="H17" s="20" t="b">
        <f>IF(G17=I17,TRUE,FALSE)</f>
        <v>1</v>
      </c>
      <c r="I17" s="45" t="b">
        <f>TRUE</f>
        <v>1</v>
      </c>
    </row>
    <row r="18" spans="3:12" x14ac:dyDescent="0.3">
      <c r="C18" s="45" t="b">
        <f>TRUE</f>
        <v>1</v>
      </c>
      <c r="D18" s="20" t="b">
        <f t="shared" ref="D18:D24" si="3">IF(C18,E18,FALSE)</f>
        <v>1</v>
      </c>
      <c r="E18" s="45" t="b">
        <f>TRUE</f>
        <v>1</v>
      </c>
      <c r="F18" s="20" t="b">
        <f t="shared" ref="F18:F24" si="4">IF(D18,H18,TRUE)</f>
        <v>0</v>
      </c>
      <c r="G18" s="45" t="b">
        <f>FALSE</f>
        <v>0</v>
      </c>
      <c r="H18" s="20" t="b">
        <f t="shared" ref="H18:H24" si="5">IF(G18=I18,TRUE,FALSE)</f>
        <v>0</v>
      </c>
      <c r="I18" s="45" t="b">
        <f>TRUE</f>
        <v>1</v>
      </c>
    </row>
    <row r="19" spans="3:12" x14ac:dyDescent="0.3">
      <c r="C19" s="45" t="b">
        <f>TRUE</f>
        <v>1</v>
      </c>
      <c r="D19" s="20" t="b">
        <f t="shared" si="3"/>
        <v>0</v>
      </c>
      <c r="E19" s="45" t="b">
        <f>FALSE</f>
        <v>0</v>
      </c>
      <c r="F19" s="20" t="b">
        <f t="shared" si="4"/>
        <v>1</v>
      </c>
      <c r="G19" s="45" t="b">
        <f>TRUE</f>
        <v>1</v>
      </c>
      <c r="H19" s="20" t="b">
        <f t="shared" si="5"/>
        <v>1</v>
      </c>
      <c r="I19" s="45" t="b">
        <f>TRUE</f>
        <v>1</v>
      </c>
    </row>
    <row r="20" spans="3:12" x14ac:dyDescent="0.3">
      <c r="C20" s="45" t="b">
        <f>TRUE</f>
        <v>1</v>
      </c>
      <c r="D20" s="20" t="b">
        <f t="shared" si="3"/>
        <v>0</v>
      </c>
      <c r="E20" s="45" t="b">
        <f>FALSE</f>
        <v>0</v>
      </c>
      <c r="F20" s="20" t="b">
        <f t="shared" si="4"/>
        <v>1</v>
      </c>
      <c r="G20" s="45" t="b">
        <f>FALSE</f>
        <v>0</v>
      </c>
      <c r="H20" s="20" t="b">
        <f t="shared" si="5"/>
        <v>0</v>
      </c>
      <c r="I20" s="45" t="b">
        <f>TRUE</f>
        <v>1</v>
      </c>
    </row>
    <row r="21" spans="3:12" x14ac:dyDescent="0.3">
      <c r="C21" s="45" t="b">
        <f>FALSE</f>
        <v>0</v>
      </c>
      <c r="D21" s="20" t="b">
        <f t="shared" si="3"/>
        <v>0</v>
      </c>
      <c r="E21" s="45" t="b">
        <f>TRUE</f>
        <v>1</v>
      </c>
      <c r="F21" s="20" t="b">
        <f t="shared" si="4"/>
        <v>1</v>
      </c>
      <c r="G21" s="45" t="b">
        <f>TRUE</f>
        <v>1</v>
      </c>
      <c r="H21" s="20" t="b">
        <f t="shared" si="5"/>
        <v>0</v>
      </c>
      <c r="I21" s="45" t="b">
        <f>FALSE</f>
        <v>0</v>
      </c>
    </row>
    <row r="22" spans="3:12" x14ac:dyDescent="0.3">
      <c r="C22" s="45" t="b">
        <f>FALSE</f>
        <v>0</v>
      </c>
      <c r="D22" s="20" t="b">
        <f t="shared" si="3"/>
        <v>0</v>
      </c>
      <c r="E22" s="45" t="b">
        <f>TRUE</f>
        <v>1</v>
      </c>
      <c r="F22" s="20" t="b">
        <f t="shared" si="4"/>
        <v>1</v>
      </c>
      <c r="G22" s="45" t="b">
        <f>FALSE</f>
        <v>0</v>
      </c>
      <c r="H22" s="20" t="b">
        <f t="shared" si="5"/>
        <v>1</v>
      </c>
      <c r="I22" s="45" t="b">
        <f>FALSE</f>
        <v>0</v>
      </c>
    </row>
    <row r="23" spans="3:12" x14ac:dyDescent="0.3">
      <c r="C23" s="45" t="b">
        <f>FALSE</f>
        <v>0</v>
      </c>
      <c r="D23" s="20" t="b">
        <f t="shared" si="3"/>
        <v>0</v>
      </c>
      <c r="E23" s="45" t="b">
        <f>FALSE</f>
        <v>0</v>
      </c>
      <c r="F23" s="20" t="b">
        <f t="shared" si="4"/>
        <v>1</v>
      </c>
      <c r="G23" s="45" t="b">
        <f>TRUE</f>
        <v>1</v>
      </c>
      <c r="H23" s="20" t="b">
        <f t="shared" si="5"/>
        <v>0</v>
      </c>
      <c r="I23" s="45" t="b">
        <f>FALSE</f>
        <v>0</v>
      </c>
    </row>
    <row r="24" spans="3:12" x14ac:dyDescent="0.3">
      <c r="C24" s="45" t="b">
        <f>FALSE</f>
        <v>0</v>
      </c>
      <c r="D24" s="20" t="b">
        <f t="shared" si="3"/>
        <v>0</v>
      </c>
      <c r="E24" s="45" t="b">
        <f>FALSE</f>
        <v>0</v>
      </c>
      <c r="F24" s="20" t="b">
        <f t="shared" si="4"/>
        <v>1</v>
      </c>
      <c r="G24" s="45" t="b">
        <f>FALSE</f>
        <v>0</v>
      </c>
      <c r="H24" s="20" t="b">
        <f t="shared" si="5"/>
        <v>1</v>
      </c>
      <c r="I24" s="45" t="b">
        <f>FALSE</f>
        <v>0</v>
      </c>
    </row>
    <row r="26" spans="3:12" x14ac:dyDescent="0.3">
      <c r="L26" t="s">
        <v>167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Hoja1</vt:lpstr>
      <vt:lpstr>Hoja2</vt:lpstr>
      <vt:lpstr>primerparcial2020</vt:lpstr>
      <vt:lpstr>ExamenM1T12023</vt:lpstr>
      <vt:lpstr>ExamenM1T22023</vt:lpstr>
      <vt:lpstr>ExamenM2T22023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Ambrogio</dc:creator>
  <cp:lastModifiedBy>Francisco Ambrogio</cp:lastModifiedBy>
  <dcterms:created xsi:type="dcterms:W3CDTF">2015-06-05T18:19:34Z</dcterms:created>
  <dcterms:modified xsi:type="dcterms:W3CDTF">2024-06-06T10:37:40Z</dcterms:modified>
</cp:coreProperties>
</file>