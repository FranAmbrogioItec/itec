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roblema1" sheetId="1" state="visible" r:id="rId3"/>
    <sheet name="Problema2" sheetId="2" state="visible" r:id="rId4"/>
    <sheet name="Problema3" sheetId="3" state="visible" r:id="rId5"/>
    <sheet name="Problema4" sheetId="4" state="visible" r:id="rId6"/>
    <sheet name="Problema5" sheetId="5" state="visible" r:id="rId7"/>
  </sheets>
  <definedNames>
    <definedName function="false" hidden="true" localSheetId="0" name="solver_adj" vbProcedure="false">Problema1!$A$13:$A$15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Problema1!$A$13</definedName>
    <definedName function="false" hidden="true" localSheetId="0" name="solver_lhs2" vbProcedure="false">Problema1!$A$13:$A$15</definedName>
    <definedName function="false" hidden="true" localSheetId="0" name="solver_lhs3" vbProcedure="false">Problema1!$C$16</definedName>
    <definedName function="false" hidden="true" localSheetId="0" name="solver_lhs4" vbProcedure="false">Problema1!$D$16</definedName>
    <definedName function="false" hidden="true" localSheetId="0" name="solver_lhs5" vbProcedure="false">Problema1!$E$16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5</definedName>
    <definedName function="false" hidden="true" localSheetId="0" name="solver_nwt" vbProcedure="false">1</definedName>
    <definedName function="false" hidden="true" localSheetId="0" name="solver_opt" vbProcedure="false">Problema1!$F$16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el1" vbProcedure="false">3</definedName>
    <definedName function="false" hidden="true" localSheetId="0" name="solver_rel2" vbProcedure="false">4</definedName>
    <definedName function="false" hidden="true" localSheetId="0" name="solver_rel3" vbProcedure="false">1</definedName>
    <definedName function="false" hidden="true" localSheetId="0" name="solver_rel4" vbProcedure="false">1</definedName>
    <definedName function="false" hidden="true" localSheetId="0" name="solver_rel5" vbProcedure="false">1</definedName>
    <definedName function="false" hidden="true" localSheetId="0" name="solver_rhs1" vbProcedure="false">5</definedName>
    <definedName function="false" hidden="true" localSheetId="0" name="solver_rhs2" vbProcedure="false">"entero"</definedName>
    <definedName function="false" hidden="true" localSheetId="0" name="solver_rhs3" vbProcedure="false">100</definedName>
    <definedName function="false" hidden="true" localSheetId="0" name="solver_rhs4" vbProcedure="false">180</definedName>
    <definedName function="false" hidden="true" localSheetId="0" name="solver_rhs5" vbProcedure="false">60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1</definedName>
    <definedName function="false" hidden="true" localSheetId="0" name="solver_val" vbProcedure="false">0</definedName>
    <definedName function="false" hidden="true" localSheetId="0" name="solver_ver" vbProcedure="false">3</definedName>
    <definedName function="false" hidden="true" localSheetId="1" name="solver_adj" vbProcedure="false">Problema2!$A$14:$A$16</definedName>
    <definedName function="false" hidden="true" localSheetId="1" name="solver_cvg" vbProcedure="false">0.0001</definedName>
    <definedName function="false" hidden="true" localSheetId="1" name="solver_drv" vbProcedure="false">2</definedName>
    <definedName function="false" hidden="true" localSheetId="1" name="solver_eng" vbProcedure="false">2</definedName>
    <definedName function="false" hidden="true" localSheetId="1" name="solver_est" vbProcedure="false">1</definedName>
    <definedName function="false" hidden="true" localSheetId="1" name="solver_itr" vbProcedure="false">2147483647</definedName>
    <definedName function="false" hidden="true" localSheetId="1" name="solver_lhs1" vbProcedure="false">Problema2!$A$14</definedName>
    <definedName function="false" hidden="true" localSheetId="1" name="solver_lhs2" vbProcedure="false">Problema2!$A$14:$A$16</definedName>
    <definedName function="false" hidden="true" localSheetId="1" name="solver_lhs3" vbProcedure="false">Problema2!$A$15</definedName>
    <definedName function="false" hidden="true" localSheetId="1" name="solver_lhs4" vbProcedure="false">Problema2!$A$16</definedName>
    <definedName function="false" hidden="true" localSheetId="1" name="solver_lhs5" vbProcedure="false">Problema2!$C$17</definedName>
    <definedName function="false" hidden="true" localSheetId="1" name="solver_lhs6" vbProcedure="false">Problema2!$D$17</definedName>
    <definedName function="false" hidden="true" localSheetId="1" name="solver_lhs7" vbProcedure="false">Problema2!$E$17</definedName>
    <definedName function="false" hidden="true" localSheetId="1" name="solver_mip" vbProcedure="false">2147483647</definedName>
    <definedName function="false" hidden="true" localSheetId="1" name="solver_mni" vbProcedure="false">30</definedName>
    <definedName function="false" hidden="true" localSheetId="1" name="solver_mrt" vbProcedure="false">0.075</definedName>
    <definedName function="false" hidden="true" localSheetId="1" name="solver_msl" vbProcedure="false">2</definedName>
    <definedName function="false" hidden="true" localSheetId="1" name="solver_neg" vbProcedure="false">1</definedName>
    <definedName function="false" hidden="true" localSheetId="1" name="solver_nod" vbProcedure="false">2147483647</definedName>
    <definedName function="false" hidden="true" localSheetId="1" name="solver_num" vbProcedure="false">7</definedName>
    <definedName function="false" hidden="true" localSheetId="1" name="solver_nwt" vbProcedure="false">1</definedName>
    <definedName function="false" hidden="true" localSheetId="1" name="solver_opt" vbProcedure="false">Problema2!$F$17</definedName>
    <definedName function="false" hidden="true" localSheetId="1" name="solver_pre" vbProcedure="false">0.000001</definedName>
    <definedName function="false" hidden="true" localSheetId="1" name="solver_rbv" vbProcedure="false">2</definedName>
    <definedName function="false" hidden="true" localSheetId="1" name="solver_rel1" vbProcedure="false">3</definedName>
    <definedName function="false" hidden="true" localSheetId="1" name="solver_rel2" vbProcedure="false">4</definedName>
    <definedName function="false" hidden="true" localSheetId="1" name="solver_rel3" vbProcedure="false">3</definedName>
    <definedName function="false" hidden="true" localSheetId="1" name="solver_rel4" vbProcedure="false">3</definedName>
    <definedName function="false" hidden="true" localSheetId="1" name="solver_rel5" vbProcedure="false">1</definedName>
    <definedName function="false" hidden="true" localSheetId="1" name="solver_rel6" vbProcedure="false">1</definedName>
    <definedName function="false" hidden="true" localSheetId="1" name="solver_rel7" vbProcedure="false">1</definedName>
    <definedName function="false" hidden="true" localSheetId="1" name="solver_rhs1" vbProcedure="false">5</definedName>
    <definedName function="false" hidden="true" localSheetId="1" name="solver_rhs2" vbProcedure="false">"entero"</definedName>
    <definedName function="false" hidden="true" localSheetId="1" name="solver_rhs3" vbProcedure="false">5</definedName>
    <definedName function="false" hidden="true" localSheetId="1" name="solver_rhs4" vbProcedure="false">5</definedName>
    <definedName function="false" hidden="true" localSheetId="1" name="solver_rhs5" vbProcedure="false">120</definedName>
    <definedName function="false" hidden="true" localSheetId="1" name="solver_rhs6" vbProcedure="false">160</definedName>
    <definedName function="false" hidden="true" localSheetId="1" name="solver_rhs7" vbProcedure="false">90</definedName>
    <definedName function="false" hidden="true" localSheetId="1" name="solver_rlx" vbProcedure="false">2</definedName>
    <definedName function="false" hidden="true" localSheetId="1" name="solver_rsd" vbProcedure="false">0</definedName>
    <definedName function="false" hidden="true" localSheetId="1" name="solver_scl" vbProcedure="false">2</definedName>
    <definedName function="false" hidden="true" localSheetId="1" name="solver_sho" vbProcedure="false">2</definedName>
    <definedName function="false" hidden="true" localSheetId="1" name="solver_ssz" vbProcedure="false">100</definedName>
    <definedName function="false" hidden="true" localSheetId="1" name="solver_tim" vbProcedure="false">2147483647</definedName>
    <definedName function="false" hidden="true" localSheetId="1" name="solver_tol" vbProcedure="false">0.01</definedName>
    <definedName function="false" hidden="true" localSheetId="1" name="solver_typ" vbProcedure="false">1</definedName>
    <definedName function="false" hidden="true" localSheetId="1" name="solver_val" vbProcedure="false">0</definedName>
    <definedName function="false" hidden="true" localSheetId="1" name="solver_ver" vbProcedure="false">3</definedName>
    <definedName function="false" hidden="true" localSheetId="2" name="solver_adj" vbProcedure="false">Problema3!$C$14:$C$18</definedName>
    <definedName function="false" hidden="true" localSheetId="2" name="solver_cvg" vbProcedure="false">0.0001</definedName>
    <definedName function="false" hidden="true" localSheetId="2" name="solver_drv" vbProcedure="false">2</definedName>
    <definedName function="false" hidden="true" localSheetId="2" name="solver_eng" vbProcedure="false">2</definedName>
    <definedName function="false" hidden="true" localSheetId="2" name="solver_est" vbProcedure="false">1</definedName>
    <definedName function="false" hidden="true" localSheetId="2" name="solver_itr" vbProcedure="false">2147483647</definedName>
    <definedName function="false" hidden="true" localSheetId="2" name="solver_lhs1" vbProcedure="false">Problema3!$C$11</definedName>
    <definedName function="false" hidden="true" localSheetId="2" name="solver_lhs10" vbProcedure="false">Problema3!$D$19</definedName>
    <definedName function="false" hidden="true" localSheetId="2" name="solver_lhs11" vbProcedure="false">Problema3!$E$11</definedName>
    <definedName function="false" hidden="true" localSheetId="2" name="solver_lhs12" vbProcedure="false">Problema3!$E$19</definedName>
    <definedName function="false" hidden="true" localSheetId="2" name="solver_lhs13" vbProcedure="false">Problema3!$F$11</definedName>
    <definedName function="false" hidden="true" localSheetId="2" name="solver_lhs2" vbProcedure="false">Problema3!$C$14</definedName>
    <definedName function="false" hidden="true" localSheetId="2" name="solver_lhs3" vbProcedure="false">Problema3!$C$14:$C$18</definedName>
    <definedName function="false" hidden="true" localSheetId="2" name="solver_lhs4" vbProcedure="false">Problema3!$C$15</definedName>
    <definedName function="false" hidden="true" localSheetId="2" name="solver_lhs5" vbProcedure="false">Problema3!$C$16</definedName>
    <definedName function="false" hidden="true" localSheetId="2" name="solver_lhs6" vbProcedure="false">Problema3!$C$17</definedName>
    <definedName function="false" hidden="true" localSheetId="2" name="solver_lhs7" vbProcedure="false">Problema3!$C$17</definedName>
    <definedName function="false" hidden="true" localSheetId="2" name="solver_lhs8" vbProcedure="false">Problema3!$C$18</definedName>
    <definedName function="false" hidden="true" localSheetId="2" name="solver_lhs9" vbProcedure="false">Problema3!$D$11</definedName>
    <definedName function="false" hidden="true" localSheetId="2" name="solver_mip" vbProcedure="false">2147483647</definedName>
    <definedName function="false" hidden="true" localSheetId="2" name="solver_mni" vbProcedure="false">30</definedName>
    <definedName function="false" hidden="true" localSheetId="2" name="solver_mrt" vbProcedure="false">0.075</definedName>
    <definedName function="false" hidden="true" localSheetId="2" name="solver_msl" vbProcedure="false">2</definedName>
    <definedName function="false" hidden="true" localSheetId="2" name="solver_neg" vbProcedure="false">1</definedName>
    <definedName function="false" hidden="true" localSheetId="2" name="solver_nod" vbProcedure="false">2147483647</definedName>
    <definedName function="false" hidden="true" localSheetId="2" name="solver_num" vbProcedure="false">13</definedName>
    <definedName function="false" hidden="true" localSheetId="2" name="solver_nwt" vbProcedure="false">1</definedName>
    <definedName function="false" hidden="true" localSheetId="2" name="solver_opt" vbProcedure="false">Problema3!$G$14</definedName>
    <definedName function="false" hidden="true" localSheetId="2" name="solver_pre" vbProcedure="false">0.000001</definedName>
    <definedName function="false" hidden="true" localSheetId="2" name="solver_rbv" vbProcedure="false">2</definedName>
    <definedName function="false" hidden="true" localSheetId="2" name="solver_rel1" vbProcedure="false">1</definedName>
    <definedName function="false" hidden="true" localSheetId="2" name="solver_rel10" vbProcedure="false">1</definedName>
    <definedName function="false" hidden="true" localSheetId="2" name="solver_rel11" vbProcedure="false">1</definedName>
    <definedName function="false" hidden="true" localSheetId="2" name="solver_rel12" vbProcedure="false">1</definedName>
    <definedName function="false" hidden="true" localSheetId="2" name="solver_rel13" vbProcedure="false">1</definedName>
    <definedName function="false" hidden="true" localSheetId="2" name="solver_rel2" vbProcedure="false">3</definedName>
    <definedName function="false" hidden="true" localSheetId="2" name="solver_rel3" vbProcedure="false">4</definedName>
    <definedName function="false" hidden="true" localSheetId="2" name="solver_rel4" vbProcedure="false">3</definedName>
    <definedName function="false" hidden="true" localSheetId="2" name="solver_rel5" vbProcedure="false">3</definedName>
    <definedName function="false" hidden="true" localSheetId="2" name="solver_rel6" vbProcedure="false">3</definedName>
    <definedName function="false" hidden="true" localSheetId="2" name="solver_rel7" vbProcedure="false">3</definedName>
    <definedName function="false" hidden="true" localSheetId="2" name="solver_rel8" vbProcedure="false">3</definedName>
    <definedName function="false" hidden="true" localSheetId="2" name="solver_rel9" vbProcedure="false">1</definedName>
    <definedName function="false" hidden="true" localSheetId="2" name="solver_rhs1" vbProcedure="false">1500</definedName>
    <definedName function="false" hidden="true" localSheetId="2" name="solver_rhs10" vbProcedure="false">75000</definedName>
    <definedName function="false" hidden="true" localSheetId="2" name="solver_rhs11" vbProcedure="false">1600</definedName>
    <definedName function="false" hidden="true" localSheetId="2" name="solver_rhs12" vbProcedure="false">100000</definedName>
    <definedName function="false" hidden="true" localSheetId="2" name="solver_rhs13" vbProcedure="false">1500</definedName>
    <definedName function="false" hidden="true" localSheetId="2" name="solver_rhs2" vbProcedure="false">0</definedName>
    <definedName function="false" hidden="true" localSheetId="2" name="solver_rhs3" vbProcedure="false">"entero"</definedName>
    <definedName function="false" hidden="true" localSheetId="2" name="solver_rhs4" vbProcedure="false">0</definedName>
    <definedName function="false" hidden="true" localSheetId="2" name="solver_rhs5" vbProcedure="false">0</definedName>
    <definedName function="false" hidden="true" localSheetId="2" name="solver_rhs6" vbProcedure="false">0</definedName>
    <definedName function="false" hidden="true" localSheetId="2" name="solver_rhs7" vbProcedure="false">100</definedName>
    <definedName function="false" hidden="true" localSheetId="2" name="solver_rhs8" vbProcedure="false">0</definedName>
    <definedName function="false" hidden="true" localSheetId="2" name="solver_rhs9" vbProcedure="false">1400</definedName>
    <definedName function="false" hidden="true" localSheetId="2" name="solver_rlx" vbProcedure="false">2</definedName>
    <definedName function="false" hidden="true" localSheetId="2" name="solver_rsd" vbProcedure="false">0</definedName>
    <definedName function="false" hidden="true" localSheetId="2" name="solver_scl" vbProcedure="false">2</definedName>
    <definedName function="false" hidden="true" localSheetId="2" name="solver_sho" vbProcedure="false">2</definedName>
    <definedName function="false" hidden="true" localSheetId="2" name="solver_ssz" vbProcedure="false">100</definedName>
    <definedName function="false" hidden="true" localSheetId="2" name="solver_tim" vbProcedure="false">2147483647</definedName>
    <definedName function="false" hidden="true" localSheetId="2" name="solver_tol" vbProcedure="false">0.01</definedName>
    <definedName function="false" hidden="true" localSheetId="2" name="solver_typ" vbProcedure="false">1</definedName>
    <definedName function="false" hidden="true" localSheetId="2" name="solver_val" vbProcedure="false">0</definedName>
    <definedName function="false" hidden="true" localSheetId="2" name="solver_ver" vbProcedure="false">3</definedName>
    <definedName function="false" hidden="true" localSheetId="3" name="solver_adj" vbProcedure="false">Problema4!$C$6:$C$9</definedName>
    <definedName function="false" hidden="true" localSheetId="3" name="solver_cvg" vbProcedure="false">0.0001</definedName>
    <definedName function="false" hidden="true" localSheetId="3" name="solver_drv" vbProcedure="false">2</definedName>
    <definedName function="false" hidden="true" localSheetId="3" name="solver_eng" vbProcedure="false">2</definedName>
    <definedName function="false" hidden="true" localSheetId="3" name="solver_est" vbProcedure="false">1</definedName>
    <definedName function="false" hidden="true" localSheetId="3" name="solver_itr" vbProcedure="false">2147483647</definedName>
    <definedName function="false" hidden="true" localSheetId="3" name="solver_lhs1" vbProcedure="false">Problema4!$C$10</definedName>
    <definedName function="false" hidden="true" localSheetId="3" name="solver_lhs2" vbProcedure="false">Problema4!$C$6</definedName>
    <definedName function="false" hidden="true" localSheetId="3" name="solver_lhs3" vbProcedure="false">Problema4!$C$6</definedName>
    <definedName function="false" hidden="true" localSheetId="3" name="solver_lhs4" vbProcedure="false">Problema4!$C$7</definedName>
    <definedName function="false" hidden="true" localSheetId="3" name="solver_lhs5" vbProcedure="false">Problema4!$C$7</definedName>
    <definedName function="false" hidden="true" localSheetId="3" name="solver_lhs6" vbProcedure="false">Problema4!$C$8</definedName>
    <definedName function="false" hidden="true" localSheetId="3" name="solver_lhs7" vbProcedure="false">Problema4!$C$9</definedName>
    <definedName function="false" hidden="true" localSheetId="3" name="solver_lhs8" vbProcedure="false">Problema4!$C$9</definedName>
    <definedName function="false" hidden="true" localSheetId="3" name="solver_mip" vbProcedure="false">2147483647</definedName>
    <definedName function="false" hidden="true" localSheetId="3" name="solver_mni" vbProcedure="false">30</definedName>
    <definedName function="false" hidden="true" localSheetId="3" name="solver_mrt" vbProcedure="false">0.075</definedName>
    <definedName function="false" hidden="true" localSheetId="3" name="solver_msl" vbProcedure="false">2</definedName>
    <definedName function="false" hidden="true" localSheetId="3" name="solver_neg" vbProcedure="false">1</definedName>
    <definedName function="false" hidden="true" localSheetId="3" name="solver_nod" vbProcedure="false">2147483647</definedName>
    <definedName function="false" hidden="true" localSheetId="3" name="solver_num" vbProcedure="false">8</definedName>
    <definedName function="false" hidden="true" localSheetId="3" name="solver_nwt" vbProcedure="false">1</definedName>
    <definedName function="false" hidden="true" localSheetId="3" name="solver_opt" vbProcedure="false">Problema4!$F$6</definedName>
    <definedName function="false" hidden="true" localSheetId="3" name="solver_pre" vbProcedure="false">0.000001</definedName>
    <definedName function="false" hidden="true" localSheetId="3" name="solver_rbv" vbProcedure="false">2</definedName>
    <definedName function="false" hidden="true" localSheetId="3" name="solver_rel1" vbProcedure="false">1</definedName>
    <definedName function="false" hidden="true" localSheetId="3" name="solver_rel2" vbProcedure="false">3</definedName>
    <definedName function="false" hidden="true" localSheetId="3" name="solver_rel3" vbProcedure="false">3</definedName>
    <definedName function="false" hidden="true" localSheetId="3" name="solver_rel4" vbProcedure="false">3</definedName>
    <definedName function="false" hidden="true" localSheetId="3" name="solver_rel5" vbProcedure="false">3</definedName>
    <definedName function="false" hidden="true" localSheetId="3" name="solver_rel6" vbProcedure="false">3</definedName>
    <definedName function="false" hidden="true" localSheetId="3" name="solver_rel7" vbProcedure="false">1</definedName>
    <definedName function="false" hidden="true" localSheetId="3" name="solver_rel8" vbProcedure="false">3</definedName>
    <definedName function="false" hidden="true" localSheetId="3" name="solver_rhs1" vbProcedure="false">5000000</definedName>
    <definedName function="false" hidden="true" localSheetId="3" name="solver_rhs2" vbProcedure="false">0</definedName>
    <definedName function="false" hidden="true" localSheetId="3" name="solver_rhs3" vbProcedure="false">1000000</definedName>
    <definedName function="false" hidden="true" localSheetId="3" name="solver_rhs4" vbProcedure="false">0</definedName>
    <definedName function="false" hidden="true" localSheetId="3" name="solver_rhs5" vbProcedure="false">1000000</definedName>
    <definedName function="false" hidden="true" localSheetId="3" name="solver_rhs6" vbProcedure="false">0</definedName>
    <definedName function="false" hidden="true" localSheetId="3" name="solver_rhs7" vbProcedure="false">1000000</definedName>
    <definedName function="false" hidden="true" localSheetId="3" name="solver_rhs8" vbProcedure="false">0</definedName>
    <definedName function="false" hidden="true" localSheetId="3" name="solver_rlx" vbProcedure="false">2</definedName>
    <definedName function="false" hidden="true" localSheetId="3" name="solver_rsd" vbProcedure="false">0</definedName>
    <definedName function="false" hidden="true" localSheetId="3" name="solver_scl" vbProcedure="false">2</definedName>
    <definedName function="false" hidden="true" localSheetId="3" name="solver_sho" vbProcedure="false">2</definedName>
    <definedName function="false" hidden="true" localSheetId="3" name="solver_ssz" vbProcedure="false">100</definedName>
    <definedName function="false" hidden="true" localSheetId="3" name="solver_tim" vbProcedure="false">2147483647</definedName>
    <definedName function="false" hidden="true" localSheetId="3" name="solver_tol" vbProcedure="false">0.01</definedName>
    <definedName function="false" hidden="true" localSheetId="3" name="solver_typ" vbProcedure="false">1</definedName>
    <definedName function="false" hidden="true" localSheetId="3" name="solver_val" vbProcedure="false">0</definedName>
    <definedName function="false" hidden="true" localSheetId="3" name="solver_ver" vbProcedure="false">3</definedName>
    <definedName function="false" hidden="true" localSheetId="4" name="solver_adj" vbProcedure="false">Problema5!$D$6:$D$11</definedName>
    <definedName function="false" hidden="true" localSheetId="4" name="solver_cvg" vbProcedure="false">0.0001</definedName>
    <definedName function="false" hidden="true" localSheetId="4" name="solver_drv" vbProcedure="false">2</definedName>
    <definedName function="false" hidden="true" localSheetId="4" name="solver_eng" vbProcedure="false">2</definedName>
    <definedName function="false" hidden="true" localSheetId="4" name="solver_est" vbProcedure="false">1</definedName>
    <definedName function="false" hidden="true" localSheetId="4" name="solver_itr" vbProcedure="false">2147483647</definedName>
    <definedName function="false" hidden="true" localSheetId="4" name="solver_lhs1" vbProcedure="false">Problema5!$C$14</definedName>
    <definedName function="false" hidden="true" localSheetId="4" name="solver_lhs2" vbProcedure="false">Problema5!$C$15</definedName>
    <definedName function="false" hidden="true" localSheetId="4" name="solver_lhs3" vbProcedure="false">Problema5!$C$16</definedName>
    <definedName function="false" hidden="true" localSheetId="4" name="solver_lhs4" vbProcedure="false">Problema5!$C$17</definedName>
    <definedName function="false" hidden="true" localSheetId="4" name="solver_lhs5" vbProcedure="false">Problema5!$C$18</definedName>
    <definedName function="false" hidden="true" localSheetId="4" name="solver_lhs6" vbProcedure="false">Problema5!$D$6</definedName>
    <definedName function="false" hidden="true" localSheetId="4" name="solver_lhs7" vbProcedure="false">Problema5!$D$6:$D$11</definedName>
    <definedName function="false" hidden="true" localSheetId="4" name="solver_mip" vbProcedure="false">2147483647</definedName>
    <definedName function="false" hidden="true" localSheetId="4" name="solver_mni" vbProcedure="false">30</definedName>
    <definedName function="false" hidden="true" localSheetId="4" name="solver_mrt" vbProcedure="false">0.075</definedName>
    <definedName function="false" hidden="true" localSheetId="4" name="solver_msl" vbProcedure="false">2</definedName>
    <definedName function="false" hidden="true" localSheetId="4" name="solver_neg" vbProcedure="false">1</definedName>
    <definedName function="false" hidden="true" localSheetId="4" name="solver_nod" vbProcedure="false">2147483647</definedName>
    <definedName function="false" hidden="true" localSheetId="4" name="solver_num" vbProcedure="false">7</definedName>
    <definedName function="false" hidden="true" localSheetId="4" name="solver_nwt" vbProcedure="false">1</definedName>
    <definedName function="false" hidden="true" localSheetId="4" name="solver_opt" vbProcedure="false">Problema5!$D$11</definedName>
    <definedName function="false" hidden="true" localSheetId="4" name="solver_pre" vbProcedure="false">0.000001</definedName>
    <definedName function="false" hidden="true" localSheetId="4" name="solver_rbv" vbProcedure="false">2</definedName>
    <definedName function="false" hidden="true" localSheetId="4" name="solver_rel1" vbProcedure="false">3</definedName>
    <definedName function="false" hidden="true" localSheetId="4" name="solver_rel2" vbProcedure="false">3</definedName>
    <definedName function="false" hidden="true" localSheetId="4" name="solver_rel3" vbProcedure="false">3</definedName>
    <definedName function="false" hidden="true" localSheetId="4" name="solver_rel4" vbProcedure="false">3</definedName>
    <definedName function="false" hidden="true" localSheetId="4" name="solver_rel5" vbProcedure="false">3</definedName>
    <definedName function="false" hidden="true" localSheetId="4" name="solver_rel6" vbProcedure="false">3</definedName>
    <definedName function="false" hidden="true" localSheetId="4" name="solver_rel7" vbProcedure="false">3</definedName>
    <definedName function="false" hidden="true" localSheetId="4" name="solver_rhs1" vbProcedure="false">6</definedName>
    <definedName function="false" hidden="true" localSheetId="4" name="solver_rhs2" vbProcedure="false">90</definedName>
    <definedName function="false" hidden="true" localSheetId="4" name="solver_rhs3" vbProcedure="false">85</definedName>
    <definedName function="false" hidden="true" localSheetId="4" name="solver_rhs4" vbProcedure="false">55</definedName>
    <definedName function="false" hidden="true" localSheetId="4" name="solver_rhs5" vbProcedure="false">20</definedName>
    <definedName function="false" hidden="true" localSheetId="4" name="solver_rhs6" vbProcedure="false">4</definedName>
    <definedName function="false" hidden="true" localSheetId="4" name="solver_rhs7" vbProcedure="false">0</definedName>
    <definedName function="false" hidden="true" localSheetId="4" name="solver_rlx" vbProcedure="false">2</definedName>
    <definedName function="false" hidden="true" localSheetId="4" name="solver_rsd" vbProcedure="false">0</definedName>
    <definedName function="false" hidden="true" localSheetId="4" name="solver_scl" vbProcedure="false">2</definedName>
    <definedName function="false" hidden="true" localSheetId="4" name="solver_sho" vbProcedure="false">2</definedName>
    <definedName function="false" hidden="true" localSheetId="4" name="solver_ssz" vbProcedure="false">100</definedName>
    <definedName function="false" hidden="true" localSheetId="4" name="solver_tim" vbProcedure="false">2147483647</definedName>
    <definedName function="false" hidden="true" localSheetId="4" name="solver_tol" vbProcedure="false">0.01</definedName>
    <definedName function="false" hidden="true" localSheetId="4" name="solver_typ" vbProcedure="false">2</definedName>
    <definedName function="false" hidden="true" localSheetId="4" name="solver_val" vbProcedure="false">0</definedName>
    <definedName function="false" hidden="true" localSheetId="4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<sst xmlns="http://schemas.openxmlformats.org/spreadsheetml/2006/main" count="103" uniqueCount="75">
  <si>
    <t xml:space="preserve">Capacidad</t>
  </si>
  <si>
    <t xml:space="preserve">100hs</t>
  </si>
  <si>
    <t xml:space="preserve">180hs</t>
  </si>
  <si>
    <t xml:space="preserve">60yd</t>
  </si>
  <si>
    <t xml:space="preserve">Producto</t>
  </si>
  <si>
    <t xml:space="preserve">Corte</t>
  </si>
  <si>
    <t xml:space="preserve">Costura</t>
  </si>
  <si>
    <t xml:space="preserve">Material (yardas)</t>
  </si>
  <si>
    <t xml:space="preserve">Ganancia</t>
  </si>
  <si>
    <t xml:space="preserve">Falda</t>
  </si>
  <si>
    <t xml:space="preserve">Vestido</t>
  </si>
  <si>
    <t xml:space="preserve">Chaqueta Deportiva</t>
  </si>
  <si>
    <t xml:space="preserve">Cantidad (Variable X)</t>
  </si>
  <si>
    <t xml:space="preserve">120hs</t>
  </si>
  <si>
    <t xml:space="preserve">160hs</t>
  </si>
  <si>
    <t xml:space="preserve">90 (yd)</t>
  </si>
  <si>
    <t xml:space="preserve">Departamento A</t>
  </si>
  <si>
    <t xml:space="preserve">Departamento B</t>
  </si>
  <si>
    <t xml:space="preserve">Material (yd)</t>
  </si>
  <si>
    <t xml:space="preserve">Camisas</t>
  </si>
  <si>
    <t xml:space="preserve">Shorts</t>
  </si>
  <si>
    <t xml:space="preserve">Pantalones</t>
  </si>
  <si>
    <t xml:space="preserve">Tiempo procesamiento</t>
  </si>
  <si>
    <t xml:space="preserve">1500hs</t>
  </si>
  <si>
    <t xml:space="preserve">1400hs</t>
  </si>
  <si>
    <t xml:space="preserve">1600hs</t>
  </si>
  <si>
    <t xml:space="preserve">Cuchillo</t>
  </si>
  <si>
    <t xml:space="preserve">Maquina 1</t>
  </si>
  <si>
    <t xml:space="preserve">Maquina 2</t>
  </si>
  <si>
    <t xml:space="preserve">Maquina 3</t>
  </si>
  <si>
    <t xml:space="preserve">Maquina 4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</si>
  <si>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</si>
  <si>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</si>
  <si>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</si>
  <si>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</si>
  <si>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</si>
  <si>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Cantidad Cuchillos (x)</t>
  </si>
  <si>
    <t xml:space="preserve">Materia Prima 1</t>
  </si>
  <si>
    <t xml:space="preserve">Materia Prima 2</t>
  </si>
  <si>
    <t xml:space="preserve">Precio de Venta</t>
  </si>
  <si>
    <t xml:space="preserve">Utilidad Total</t>
  </si>
  <si>
    <t xml:space="preserve">MP 1: $0.50 x Onza</t>
  </si>
  <si>
    <t xml:space="preserve">MP 2: $1.50 x Onza</t>
  </si>
  <si>
    <t xml:space="preserve">Stock MP 1: 75.000 onzas</t>
  </si>
  <si>
    <t xml:space="preserve">Stock MP 2: 100.000 onzas</t>
  </si>
  <si>
    <t xml:space="preserve">Presupuesto: </t>
  </si>
  <si>
    <t xml:space="preserve">Inversion</t>
  </si>
  <si>
    <t xml:space="preserve">Variable (X)</t>
  </si>
  <si>
    <t xml:space="preserve">Interes %</t>
  </si>
  <si>
    <t xml:space="preserve">Ganancia Total</t>
  </si>
  <si>
    <t xml:space="preserve">Bonos corporativos</t>
  </si>
  <si>
    <t xml:space="preserve">Acciones Ordinarias</t>
  </si>
  <si>
    <t xml:space="preserve">Certificados en oro</t>
  </si>
  <si>
    <t xml:space="preserve">Bienes raices</t>
  </si>
  <si>
    <t xml:space="preserve">Total:</t>
  </si>
  <si>
    <t xml:space="preserve">Periodo </t>
  </si>
  <si>
    <t xml:space="preserve">Operadores Requeridos</t>
  </si>
  <si>
    <t xml:space="preserve">Operadores Minimos Requeridos</t>
  </si>
  <si>
    <t xml:space="preserve">X1</t>
  </si>
  <si>
    <t xml:space="preserve">Medianoche a 4 am</t>
  </si>
  <si>
    <t xml:space="preserve">X2</t>
  </si>
  <si>
    <t xml:space="preserve">4am a 8am</t>
  </si>
  <si>
    <t xml:space="preserve">X3</t>
  </si>
  <si>
    <t xml:space="preserve">8am a mediodia</t>
  </si>
  <si>
    <t xml:space="preserve">X4</t>
  </si>
  <si>
    <t xml:space="preserve">Mediodia a 4pm</t>
  </si>
  <si>
    <t xml:space="preserve">X5</t>
  </si>
  <si>
    <t xml:space="preserve">4pm a 8pm</t>
  </si>
  <si>
    <t xml:space="preserve">X6</t>
  </si>
  <si>
    <t xml:space="preserve">8pm a medianoche</t>
  </si>
  <si>
    <t xml:space="preserve">X1+X2</t>
  </si>
  <si>
    <t xml:space="preserve">X2+X3</t>
  </si>
  <si>
    <t xml:space="preserve">X3+X4</t>
  </si>
  <si>
    <t xml:space="preserve">X4+X5</t>
  </si>
  <si>
    <t xml:space="preserve">X5+X6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</si>
</sst>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_-&quot;$ &quot;* #,##0.00_-;&quot;-$ &quot;* #,##0.00_-;_-&quot;$ &quot;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3999"/>
        <bgColor rgb="FF969696"/>
      </patternFill>
    </fill>
    <fill>
      <patternFill patternType="solid">
        <fgColor theme="9" tint="0.3999"/>
        <bgColor rgb="FF99CCFF"/>
      </patternFill>
    </fill>
    <fill>
      <patternFill patternType="solid">
        <fgColor theme="7" tint="0.3999"/>
        <bgColor rgb="FFFFFF99"/>
      </patternFill>
    </fill>
    <fill>
      <patternFill patternType="solid">
        <fgColor rgb="FF7030A0"/>
        <bgColor rgb="FF55308D"/>
      </patternFill>
    </fill>
    <fill>
      <patternFill patternType="solid">
        <fgColor rgb="FF55308D"/>
        <bgColor rgb="FF7030A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597960</xdr:colOff>
      <xdr:row>8</xdr:row>
      <xdr:rowOff>23400</xdr:rowOff>
    </xdr:from>
    <xdr:to>
      <xdr:col>14</xdr:col>
      <xdr:colOff>70200</xdr:colOff>
      <xdr:row>13</xdr:row>
      <xdr:rowOff>80280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6847560" y="1471320"/>
          <a:ext cx="516204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298800</xdr:colOff>
      <xdr:row>7</xdr:row>
      <xdr:rowOff>155160</xdr:rowOff>
    </xdr:from>
    <xdr:to>
      <xdr:col>12</xdr:col>
      <xdr:colOff>477360</xdr:colOff>
      <xdr:row>13</xdr:row>
      <xdr:rowOff>167760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7079400" y="1422000"/>
          <a:ext cx="5265000" cy="109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762120</xdr:colOff>
      <xdr:row>22</xdr:row>
      <xdr:rowOff>148320</xdr:rowOff>
    </xdr:from>
    <xdr:to>
      <xdr:col>3</xdr:col>
      <xdr:colOff>602280</xdr:colOff>
      <xdr:row>35</xdr:row>
      <xdr:rowOff>73800</xdr:rowOff>
    </xdr:to>
    <xdr:pic>
      <xdr:nvPicPr>
        <xdr:cNvPr id="2" name="Imagen 1" descr=""/>
        <xdr:cNvPicPr/>
      </xdr:nvPicPr>
      <xdr:blipFill>
        <a:blip r:embed="rId1"/>
        <a:stretch/>
      </xdr:blipFill>
      <xdr:spPr>
        <a:xfrm>
          <a:off x="762120" y="4129920"/>
          <a:ext cx="3843720" cy="227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893160</xdr:colOff>
      <xdr:row>22</xdr:row>
      <xdr:rowOff>130680</xdr:rowOff>
    </xdr:from>
    <xdr:to>
      <xdr:col>5</xdr:col>
      <xdr:colOff>1175040</xdr:colOff>
      <xdr:row>37</xdr:row>
      <xdr:rowOff>13680</xdr:rowOff>
    </xdr:to>
    <xdr:pic>
      <xdr:nvPicPr>
        <xdr:cNvPr id="3" name="Imagen 2" descr=""/>
        <xdr:cNvPicPr/>
      </xdr:nvPicPr>
      <xdr:blipFill>
        <a:blip r:embed="rId2"/>
        <a:stretch/>
      </xdr:blipFill>
      <xdr:spPr>
        <a:xfrm>
          <a:off x="4896720" y="4112280"/>
          <a:ext cx="3882600" cy="2597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443880</xdr:colOff>
      <xdr:row>8</xdr:row>
      <xdr:rowOff>101160</xdr:rowOff>
    </xdr:from>
    <xdr:to>
      <xdr:col>11</xdr:col>
      <xdr:colOff>619920</xdr:colOff>
      <xdr:row>19</xdr:row>
      <xdr:rowOff>61560</xdr:rowOff>
    </xdr:to>
    <xdr:pic>
      <xdr:nvPicPr>
        <xdr:cNvPr id="4" name="Imagen 1" descr=""/>
        <xdr:cNvPicPr/>
      </xdr:nvPicPr>
      <xdr:blipFill>
        <a:blip r:embed="rId1"/>
        <a:stretch/>
      </xdr:blipFill>
      <xdr:spPr>
        <a:xfrm>
          <a:off x="6258600" y="1745640"/>
          <a:ext cx="5757120" cy="203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693360</xdr:colOff>
      <xdr:row>3</xdr:row>
      <xdr:rowOff>128520</xdr:rowOff>
    </xdr:from>
    <xdr:to>
      <xdr:col>13</xdr:col>
      <xdr:colOff>191160</xdr:colOff>
      <xdr:row>25</xdr:row>
      <xdr:rowOff>114480</xdr:rowOff>
    </xdr:to>
    <xdr:pic>
      <xdr:nvPicPr>
        <xdr:cNvPr id="5" name="Imagen 1" descr=""/>
        <xdr:cNvPicPr/>
      </xdr:nvPicPr>
      <xdr:blipFill>
        <a:blip r:embed="rId1"/>
        <a:stretch/>
      </xdr:blipFill>
      <xdr:spPr>
        <a:xfrm>
          <a:off x="8454960" y="671400"/>
          <a:ext cx="5432040" cy="3967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F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2" activeCellId="0" sqref="B32"/>
    </sheetView>
  </sheetViews>
  <sheetFormatPr defaultColWidth="8.890625" defaultRowHeight="14.25" zeroHeight="false" outlineLevelRow="0" outlineLevelCol="0"/>
  <cols>
    <col collapsed="false" customWidth="true" hidden="false" outlineLevel="0" max="1" min="1" style="0" width="18.78"/>
    <col collapsed="false" customWidth="true" hidden="false" outlineLevel="0" max="2" min="2" style="0" width="17.56"/>
    <col collapsed="false" customWidth="true" hidden="false" outlineLevel="0" max="5" min="5" style="0" width="15.11"/>
  </cols>
  <sheetData>
    <row r="5" customFormat="false" ht="14.25" hidden="false" customHeight="false" outlineLevel="0" collapsed="false">
      <c r="B5" s="1" t="s">
        <v>0</v>
      </c>
      <c r="C5" s="1" t="s">
        <v>1</v>
      </c>
      <c r="D5" s="1" t="s">
        <v>2</v>
      </c>
      <c r="E5" s="1" t="s">
        <v>3</v>
      </c>
    </row>
    <row r="6" customFormat="false" ht="14.25" hidden="false" customHeight="false" outlineLevel="0" collapsed="false"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customFormat="false" ht="14.25" hidden="false" customHeight="false" outlineLevel="0" collapsed="false">
      <c r="B7" s="3" t="s">
        <v>9</v>
      </c>
      <c r="C7" s="4" t="n">
        <v>1</v>
      </c>
      <c r="D7" s="4" t="n">
        <v>1</v>
      </c>
      <c r="E7" s="4" t="n">
        <v>1</v>
      </c>
      <c r="F7" s="4" t="n">
        <v>5</v>
      </c>
    </row>
    <row r="8" customFormat="false" ht="14.25" hidden="false" customHeight="false" outlineLevel="0" collapsed="false">
      <c r="B8" s="3" t="s">
        <v>10</v>
      </c>
      <c r="C8" s="4" t="n">
        <v>3</v>
      </c>
      <c r="D8" s="4" t="n">
        <v>4</v>
      </c>
      <c r="E8" s="4" t="n">
        <v>1</v>
      </c>
      <c r="F8" s="4" t="n">
        <v>17</v>
      </c>
    </row>
    <row r="9" customFormat="false" ht="14.25" hidden="false" customHeight="false" outlineLevel="0" collapsed="false">
      <c r="B9" s="3" t="s">
        <v>11</v>
      </c>
      <c r="C9" s="4" t="n">
        <v>4</v>
      </c>
      <c r="D9" s="4" t="n">
        <v>6</v>
      </c>
      <c r="E9" s="4" t="n">
        <v>4</v>
      </c>
      <c r="F9" s="4" t="n">
        <v>30</v>
      </c>
    </row>
    <row r="12" customFormat="false" ht="14.25" hidden="false" customHeight="false" outlineLevel="0" collapsed="false">
      <c r="A12" s="5" t="s">
        <v>12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</row>
    <row r="13" customFormat="false" ht="14.25" hidden="false" customHeight="false" outlineLevel="0" collapsed="false">
      <c r="A13" s="5" t="n">
        <v>5</v>
      </c>
      <c r="B13" s="3" t="s">
        <v>9</v>
      </c>
      <c r="C13" s="4" t="n">
        <f aca="false">A13*C7</f>
        <v>5</v>
      </c>
      <c r="D13" s="4" t="n">
        <f aca="false">A13*D7</f>
        <v>5</v>
      </c>
      <c r="E13" s="4" t="n">
        <f aca="false">A13*E7</f>
        <v>5</v>
      </c>
      <c r="F13" s="4" t="n">
        <f aca="false">A13*F7</f>
        <v>25</v>
      </c>
    </row>
    <row r="14" customFormat="false" ht="14.25" hidden="false" customHeight="false" outlineLevel="0" collapsed="false">
      <c r="A14" s="5" t="n">
        <v>21</v>
      </c>
      <c r="B14" s="3" t="s">
        <v>10</v>
      </c>
      <c r="C14" s="4" t="n">
        <f aca="false">A14*C8</f>
        <v>63</v>
      </c>
      <c r="D14" s="4" t="n">
        <f aca="false">A14*D8</f>
        <v>84</v>
      </c>
      <c r="E14" s="4" t="n">
        <f aca="false">A14*E8</f>
        <v>21</v>
      </c>
      <c r="F14" s="4" t="n">
        <f aca="false">A14*F8</f>
        <v>357</v>
      </c>
    </row>
    <row r="15" customFormat="false" ht="14.25" hidden="false" customHeight="false" outlineLevel="0" collapsed="false">
      <c r="A15" s="5" t="n">
        <v>8</v>
      </c>
      <c r="B15" s="3" t="s">
        <v>11</v>
      </c>
      <c r="C15" s="4" t="n">
        <f aca="false">A15*C9</f>
        <v>32</v>
      </c>
      <c r="D15" s="4" t="n">
        <f aca="false">A15*D9</f>
        <v>48</v>
      </c>
      <c r="E15" s="4" t="n">
        <f aca="false">A15*E9</f>
        <v>32</v>
      </c>
      <c r="F15" s="4" t="n">
        <f aca="false">A15*F9</f>
        <v>240</v>
      </c>
    </row>
    <row r="16" customFormat="false" ht="14.25" hidden="false" customHeight="false" outlineLevel="0" collapsed="false">
      <c r="C16" s="4" t="n">
        <f aca="false">SUM(C13:C15)</f>
        <v>100</v>
      </c>
      <c r="D16" s="4" t="n">
        <f aca="false">SUM(D13:D15)</f>
        <v>137</v>
      </c>
      <c r="E16" s="4" t="n">
        <f aca="false">SUM(E13:E15)</f>
        <v>58</v>
      </c>
      <c r="F16" s="4" t="n">
        <f aca="false">SUM(F13:F15)</f>
        <v>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F1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1" activeCellId="0" sqref="C2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8.78"/>
    <col collapsed="false" customWidth="true" hidden="false" outlineLevel="0" max="4" min="3" style="0" width="14.78"/>
    <col collapsed="false" customWidth="true" hidden="false" outlineLevel="0" max="5" min="5" style="0" width="15.22"/>
  </cols>
  <sheetData>
    <row r="5" customFormat="false" ht="14.25" hidden="false" customHeight="false" outlineLevel="0" collapsed="false">
      <c r="B5" s="6" t="s">
        <v>0</v>
      </c>
      <c r="C5" s="6" t="s">
        <v>13</v>
      </c>
      <c r="D5" s="6" t="s">
        <v>14</v>
      </c>
      <c r="E5" s="6" t="s">
        <v>15</v>
      </c>
    </row>
    <row r="6" customFormat="false" ht="14.25" hidden="false" customHeight="false" outlineLevel="0" collapsed="false">
      <c r="B6" s="2" t="s">
        <v>4</v>
      </c>
      <c r="C6" s="2" t="s">
        <v>16</v>
      </c>
      <c r="D6" s="2" t="s">
        <v>17</v>
      </c>
      <c r="E6" s="2" t="s">
        <v>18</v>
      </c>
      <c r="F6" s="2" t="s">
        <v>8</v>
      </c>
    </row>
    <row r="7" customFormat="false" ht="14.25" hidden="false" customHeight="false" outlineLevel="0" collapsed="false">
      <c r="B7" s="3" t="s">
        <v>19</v>
      </c>
      <c r="C7" s="4" t="n">
        <v>2</v>
      </c>
      <c r="D7" s="4" t="n">
        <v>1</v>
      </c>
      <c r="E7" s="4" t="n">
        <v>1</v>
      </c>
      <c r="F7" s="4" t="n">
        <v>10</v>
      </c>
    </row>
    <row r="8" customFormat="false" ht="14.25" hidden="false" customHeight="false" outlineLevel="0" collapsed="false">
      <c r="B8" s="3" t="s">
        <v>20</v>
      </c>
      <c r="C8" s="4" t="n">
        <v>2</v>
      </c>
      <c r="D8" s="4" t="n">
        <v>3</v>
      </c>
      <c r="E8" s="4" t="n">
        <v>1</v>
      </c>
      <c r="F8" s="4" t="n">
        <v>5</v>
      </c>
    </row>
    <row r="9" customFormat="false" ht="14.25" hidden="false" customHeight="false" outlineLevel="0" collapsed="false">
      <c r="B9" s="3" t="s">
        <v>21</v>
      </c>
      <c r="C9" s="4" t="n">
        <v>3</v>
      </c>
      <c r="D9" s="4" t="n">
        <v>4</v>
      </c>
      <c r="E9" s="7" t="n">
        <v>4</v>
      </c>
      <c r="F9" s="4" t="n">
        <v>11.5</v>
      </c>
    </row>
    <row r="13" customFormat="false" ht="14.25" hidden="false" customHeight="false" outlineLevel="0" collapsed="false">
      <c r="A13" s="5" t="s">
        <v>12</v>
      </c>
      <c r="B13" s="2" t="s">
        <v>4</v>
      </c>
      <c r="C13" s="2" t="s">
        <v>16</v>
      </c>
      <c r="D13" s="2" t="s">
        <v>17</v>
      </c>
      <c r="E13" s="2" t="s">
        <v>18</v>
      </c>
      <c r="F13" s="2" t="s">
        <v>8</v>
      </c>
    </row>
    <row r="14" customFormat="false" ht="14.25" hidden="false" customHeight="false" outlineLevel="0" collapsed="false">
      <c r="A14" s="5" t="n">
        <v>46</v>
      </c>
      <c r="B14" s="3" t="s">
        <v>19</v>
      </c>
      <c r="C14" s="8" t="n">
        <f aca="false">A14*C7</f>
        <v>92</v>
      </c>
      <c r="D14" s="8" t="n">
        <f aca="false">A14*D7</f>
        <v>46</v>
      </c>
      <c r="E14" s="8" t="n">
        <f aca="false">A14*E7</f>
        <v>46</v>
      </c>
      <c r="F14" s="4" t="n">
        <f aca="false">A14*F7</f>
        <v>460</v>
      </c>
    </row>
    <row r="15" customFormat="false" ht="14.25" hidden="false" customHeight="false" outlineLevel="0" collapsed="false">
      <c r="A15" s="5" t="n">
        <v>5</v>
      </c>
      <c r="B15" s="3" t="s">
        <v>20</v>
      </c>
      <c r="C15" s="8" t="n">
        <f aca="false">A15*C8</f>
        <v>10</v>
      </c>
      <c r="D15" s="8" t="n">
        <f aca="false">A15*D8</f>
        <v>15</v>
      </c>
      <c r="E15" s="8" t="n">
        <f aca="false">A15*E8</f>
        <v>5</v>
      </c>
      <c r="F15" s="4" t="n">
        <f aca="false">A15*F8</f>
        <v>25</v>
      </c>
    </row>
    <row r="16" customFormat="false" ht="14.25" hidden="false" customHeight="false" outlineLevel="0" collapsed="false">
      <c r="A16" s="5" t="n">
        <v>6</v>
      </c>
      <c r="B16" s="3" t="s">
        <v>21</v>
      </c>
      <c r="C16" s="8" t="n">
        <f aca="false">A16*C9</f>
        <v>18</v>
      </c>
      <c r="D16" s="8" t="n">
        <f aca="false">A16*D9</f>
        <v>24</v>
      </c>
      <c r="E16" s="8" t="n">
        <f aca="false">A16*E9</f>
        <v>24</v>
      </c>
      <c r="F16" s="4" t="n">
        <f aca="false">A16*F9</f>
        <v>69</v>
      </c>
    </row>
    <row r="17" customFormat="false" ht="14.25" hidden="false" customHeight="false" outlineLevel="0" collapsed="false">
      <c r="C17" s="4" t="n">
        <f aca="false">SUM(C14:C16)</f>
        <v>120</v>
      </c>
      <c r="D17" s="4" t="n">
        <f aca="false">SUM(D14:D16)</f>
        <v>85</v>
      </c>
      <c r="E17" s="4" t="n">
        <f aca="false">SUM(E14:E16)</f>
        <v>75</v>
      </c>
      <c r="F17" s="4" t="n">
        <f aca="false">SUM(F14:F16)</f>
        <v>554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G2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D16" activeCellId="0" sqref="D16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0.33"/>
    <col collapsed="false" customWidth="true" hidden="false" outlineLevel="0" max="3" min="3" style="0" width="19.11"/>
    <col collapsed="false" customWidth="true" hidden="false" outlineLevel="0" max="4" min="4" style="0" width="22"/>
    <col collapsed="false" customWidth="true" hidden="false" outlineLevel="0" max="6" min="5" style="0" width="23"/>
    <col collapsed="false" customWidth="true" hidden="false" outlineLevel="0" max="7" min="7" style="0" width="23.45"/>
    <col collapsed="false" customWidth="true" hidden="false" outlineLevel="0" max="8" min="8" style="0" width="12"/>
  </cols>
  <sheetData>
    <row r="4" customFormat="false" ht="14.25" hidden="false" customHeight="false" outlineLevel="0" collapsed="false">
      <c r="B4" s="2" t="s">
        <v>22</v>
      </c>
      <c r="C4" s="2" t="s">
        <v>23</v>
      </c>
      <c r="D4" s="2" t="s">
        <v>24</v>
      </c>
      <c r="E4" s="2" t="s">
        <v>25</v>
      </c>
      <c r="F4" s="2" t="s">
        <v>23</v>
      </c>
    </row>
    <row r="5" customFormat="false" ht="14.25" hidden="false" customHeight="false" outlineLevel="0" collapsed="false"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</row>
    <row r="6" customFormat="false" ht="14.25" hidden="false" customHeight="false" outlineLevel="0" collapsed="false">
      <c r="B6" s="3" t="s">
        <v>31</v>
      </c>
      <c r="C6" s="4" t="n">
        <v>0.05</v>
      </c>
      <c r="D6" s="4" t="n">
        <v>0.1</v>
      </c>
      <c r="E6" s="4" t="n">
        <v>0.15</v>
      </c>
      <c r="F6" s="4" t="n">
        <v>0.05</v>
      </c>
    </row>
    <row r="7" customFormat="false" ht="14.25" hidden="false" customHeight="false" outlineLevel="0" collapsed="false">
      <c r="B7" s="3" t="s">
        <v>32</v>
      </c>
      <c r="C7" s="4" t="n">
        <v>0.15</v>
      </c>
      <c r="D7" s="4" t="n">
        <v>0.1</v>
      </c>
      <c r="E7" s="4" t="n">
        <v>0.05</v>
      </c>
      <c r="F7" s="4" t="n">
        <v>0.05</v>
      </c>
    </row>
    <row r="8" customFormat="false" ht="14.25" hidden="false" customHeight="false" outlineLevel="0" collapsed="false">
      <c r="B8" s="3" t="s">
        <v>33</v>
      </c>
      <c r="C8" s="4" t="n">
        <v>0.2</v>
      </c>
      <c r="D8" s="4" t="n">
        <v>0.05</v>
      </c>
      <c r="E8" s="4" t="n">
        <v>0.1</v>
      </c>
      <c r="F8" s="4" t="n">
        <v>0.2</v>
      </c>
    </row>
    <row r="9" customFormat="false" ht="14.25" hidden="false" customHeight="false" outlineLevel="0" collapsed="false">
      <c r="B9" s="3" t="s">
        <v>34</v>
      </c>
      <c r="C9" s="4" t="n">
        <v>0.15</v>
      </c>
      <c r="D9" s="4" t="n">
        <v>0.1</v>
      </c>
      <c r="E9" s="4" t="n">
        <v>0.1</v>
      </c>
      <c r="F9" s="4" t="n">
        <v>0.1</v>
      </c>
    </row>
    <row r="10" customFormat="false" ht="14.25" hidden="false" customHeight="false" outlineLevel="0" collapsed="false">
      <c r="B10" s="3" t="s">
        <v>35</v>
      </c>
      <c r="C10" s="4" t="n">
        <v>0.05</v>
      </c>
      <c r="D10" s="4" t="n">
        <v>0.1</v>
      </c>
      <c r="E10" s="4" t="n">
        <v>0.1</v>
      </c>
      <c r="F10" s="4" t="n">
        <v>0.05</v>
      </c>
    </row>
    <row r="11" customFormat="false" ht="14.25" hidden="false" customHeight="false" outlineLevel="0" collapsed="false">
      <c r="C11" s="0" t="n">
        <f aca="false">C6*C14+C7*C15+C8*C16+C9*C17+C10*C18</f>
        <v>1499.95</v>
      </c>
      <c r="D11" s="0" t="n">
        <f aca="false">D6*C14+D7*C15+D8*C16+D9*C17+D10*C18</f>
        <v>1400</v>
      </c>
      <c r="E11" s="0" t="n">
        <f aca="false">E6*C14+E7*C15+E8*C16+E9*C17+E10*C18</f>
        <v>1599.95</v>
      </c>
      <c r="F11" s="0" t="n">
        <f aca="false">F6*C14+F7*C15+F8*C16+F9*C17+F10*C18</f>
        <v>1237.35</v>
      </c>
    </row>
    <row r="13" customFormat="false" ht="14.25" hidden="false" customHeight="false" outlineLevel="0" collapsed="false">
      <c r="B13" s="1" t="s">
        <v>26</v>
      </c>
      <c r="C13" s="9" t="s">
        <v>36</v>
      </c>
      <c r="D13" s="1" t="s">
        <v>37</v>
      </c>
      <c r="E13" s="1" t="s">
        <v>38</v>
      </c>
      <c r="F13" s="1" t="s">
        <v>39</v>
      </c>
      <c r="G13" s="1" t="s">
        <v>40</v>
      </c>
    </row>
    <row r="14" customFormat="false" ht="14.25" hidden="false" customHeight="false" outlineLevel="0" collapsed="false">
      <c r="B14" s="3" t="s">
        <v>31</v>
      </c>
      <c r="C14" s="9" t="n">
        <v>3533</v>
      </c>
      <c r="D14" s="4" t="n">
        <v>4</v>
      </c>
      <c r="E14" s="4" t="n">
        <v>2</v>
      </c>
      <c r="F14" s="10" t="n">
        <v>15</v>
      </c>
      <c r="G14" s="4" t="n">
        <f aca="false">F14*C14+F15*C15+F16*C16+F17*C17+F18*C18</f>
        <v>332511</v>
      </c>
    </row>
    <row r="15" customFormat="false" ht="14.25" hidden="false" customHeight="false" outlineLevel="0" collapsed="false">
      <c r="B15" s="3" t="s">
        <v>32</v>
      </c>
      <c r="C15" s="9" t="n">
        <v>2576</v>
      </c>
      <c r="D15" s="4" t="n">
        <v>6</v>
      </c>
      <c r="E15" s="4" t="n">
        <v>8</v>
      </c>
      <c r="F15" s="10" t="n">
        <v>25.5</v>
      </c>
    </row>
    <row r="16" customFormat="false" ht="14.25" hidden="false" customHeight="false" outlineLevel="0" collapsed="false">
      <c r="B16" s="3" t="s">
        <v>33</v>
      </c>
      <c r="C16" s="9" t="n">
        <v>3042</v>
      </c>
      <c r="D16" s="4" t="n">
        <v>1</v>
      </c>
      <c r="E16" s="4" t="n">
        <v>3</v>
      </c>
      <c r="F16" s="10" t="n">
        <v>14</v>
      </c>
    </row>
    <row r="17" customFormat="false" ht="14.25" hidden="false" customHeight="false" outlineLevel="0" collapsed="false">
      <c r="B17" s="3" t="s">
        <v>34</v>
      </c>
      <c r="C17" s="9" t="n">
        <v>100</v>
      </c>
      <c r="D17" s="4" t="n">
        <v>2</v>
      </c>
      <c r="E17" s="4" t="n">
        <v>5</v>
      </c>
      <c r="F17" s="10" t="n">
        <v>19.5</v>
      </c>
    </row>
    <row r="18" customFormat="false" ht="14.25" hidden="false" customHeight="false" outlineLevel="0" collapsed="false">
      <c r="B18" s="3" t="s">
        <v>35</v>
      </c>
      <c r="C18" s="9" t="n">
        <v>6270</v>
      </c>
      <c r="D18" s="4" t="n">
        <v>6</v>
      </c>
      <c r="E18" s="11" t="n">
        <v>10</v>
      </c>
      <c r="F18" s="10" t="n">
        <v>27</v>
      </c>
    </row>
    <row r="19" customFormat="false" ht="14.25" hidden="false" customHeight="false" outlineLevel="0" collapsed="false">
      <c r="D19" s="0" t="n">
        <f aca="false">D14*C14+D15*C15+D16*C16+D17*C17+D18*C18</f>
        <v>70450</v>
      </c>
      <c r="E19" s="0" t="n">
        <f aca="false">E14*C14+E15*C15+E16*C16+E17*C17+E18*C18</f>
        <v>100000</v>
      </c>
      <c r="F19" s="12"/>
    </row>
    <row r="21" customFormat="false" ht="14.25" hidden="false" customHeight="false" outlineLevel="0" collapsed="false">
      <c r="B21" s="2" t="s">
        <v>41</v>
      </c>
      <c r="C21" s="2" t="s">
        <v>42</v>
      </c>
      <c r="D21" s="2" t="s">
        <v>43</v>
      </c>
      <c r="E21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8.89"/>
    <col collapsed="false" customWidth="true" hidden="false" outlineLevel="0" max="6" min="6" style="0" width="16.78"/>
  </cols>
  <sheetData>
    <row r="4" customFormat="false" ht="17.35" hidden="false" customHeight="false" outlineLevel="0" collapsed="false">
      <c r="B4" s="13" t="s">
        <v>45</v>
      </c>
      <c r="C4" s="14" t="n">
        <v>5000000</v>
      </c>
      <c r="D4" s="15"/>
    </row>
    <row r="5" customFormat="false" ht="17.35" hidden="false" customHeight="false" outlineLevel="0" collapsed="false">
      <c r="B5" s="16" t="s">
        <v>46</v>
      </c>
      <c r="C5" s="17" t="s">
        <v>47</v>
      </c>
      <c r="D5" s="16" t="s">
        <v>48</v>
      </c>
      <c r="F5" s="16" t="s">
        <v>49</v>
      </c>
    </row>
    <row r="6" customFormat="false" ht="17.35" hidden="false" customHeight="false" outlineLevel="0" collapsed="false">
      <c r="B6" s="18" t="s">
        <v>50</v>
      </c>
      <c r="C6" s="19" t="n">
        <v>1000000</v>
      </c>
      <c r="D6" s="20" t="n">
        <v>0.085</v>
      </c>
      <c r="F6" s="21" t="n">
        <f aca="false">C6*D6+C7*D7+C8*D8+C9*D9</f>
        <v>505000</v>
      </c>
    </row>
    <row r="7" customFormat="false" ht="17.35" hidden="false" customHeight="false" outlineLevel="0" collapsed="false">
      <c r="B7" s="18" t="s">
        <v>51</v>
      </c>
      <c r="C7" s="19" t="n">
        <v>1000000</v>
      </c>
      <c r="D7" s="20" t="n">
        <v>0.09</v>
      </c>
    </row>
    <row r="8" customFormat="false" ht="17.35" hidden="false" customHeight="false" outlineLevel="0" collapsed="false">
      <c r="B8" s="18" t="s">
        <v>52</v>
      </c>
      <c r="C8" s="19" t="n">
        <v>2000000</v>
      </c>
      <c r="D8" s="20" t="n">
        <v>0.1</v>
      </c>
    </row>
    <row r="9" customFormat="false" ht="17.35" hidden="false" customHeight="false" outlineLevel="0" collapsed="false">
      <c r="B9" s="18" t="s">
        <v>53</v>
      </c>
      <c r="C9" s="19" t="n">
        <v>1000000</v>
      </c>
      <c r="D9" s="20" t="n">
        <v>0.13</v>
      </c>
    </row>
    <row r="10" customFormat="false" ht="17.35" hidden="false" customHeight="false" outlineLevel="0" collapsed="false">
      <c r="B10" s="18" t="s">
        <v>54</v>
      </c>
      <c r="C10" s="19" t="n">
        <f aca="false">SUM(C6:C9)</f>
        <v>5000000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F18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F11" activeCellId="0" sqref="F11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7.11"/>
    <col collapsed="false" customWidth="true" hidden="false" outlineLevel="0" max="3" min="3" style="0" width="20.22"/>
    <col collapsed="false" customWidth="true" hidden="false" outlineLevel="0" max="6" min="6" style="0" width="27.89"/>
  </cols>
  <sheetData>
    <row r="5" customFormat="false" ht="14.25" hidden="false" customHeight="false" outlineLevel="0" collapsed="false">
      <c r="B5" s="1" t="s">
        <v>55</v>
      </c>
      <c r="C5" s="1" t="s">
        <v>56</v>
      </c>
      <c r="D5" s="1" t="s">
        <v>47</v>
      </c>
      <c r="F5" s="1" t="s">
        <v>57</v>
      </c>
    </row>
    <row r="6" customFormat="false" ht="14.25" hidden="false" customHeight="false" outlineLevel="0" collapsed="false">
      <c r="A6" s="3" t="s">
        <v>58</v>
      </c>
      <c r="B6" s="3" t="s">
        <v>59</v>
      </c>
      <c r="C6" s="4" t="n">
        <v>4</v>
      </c>
      <c r="D6" s="9" t="n">
        <v>4</v>
      </c>
      <c r="F6" s="4" t="n">
        <f aca="false">SUM(D6:D11)</f>
        <v>149</v>
      </c>
    </row>
    <row r="7" customFormat="false" ht="14.25" hidden="false" customHeight="false" outlineLevel="0" collapsed="false">
      <c r="A7" s="3" t="s">
        <v>60</v>
      </c>
      <c r="B7" s="3" t="s">
        <v>61</v>
      </c>
      <c r="C7" s="4" t="n">
        <v>6</v>
      </c>
      <c r="D7" s="9" t="n">
        <v>40</v>
      </c>
    </row>
    <row r="8" customFormat="false" ht="14.25" hidden="false" customHeight="false" outlineLevel="0" collapsed="false">
      <c r="A8" s="3" t="s">
        <v>62</v>
      </c>
      <c r="B8" s="3" t="s">
        <v>63</v>
      </c>
      <c r="C8" s="4" t="n">
        <v>90</v>
      </c>
      <c r="D8" s="9" t="n">
        <v>50</v>
      </c>
    </row>
    <row r="9" customFormat="false" ht="14.25" hidden="false" customHeight="false" outlineLevel="0" collapsed="false">
      <c r="A9" s="3" t="s">
        <v>64</v>
      </c>
      <c r="B9" s="3" t="s">
        <v>65</v>
      </c>
      <c r="C9" s="4" t="n">
        <v>85</v>
      </c>
      <c r="D9" s="9" t="n">
        <v>35</v>
      </c>
    </row>
    <row r="10" customFormat="false" ht="14.25" hidden="false" customHeight="false" outlineLevel="0" collapsed="false">
      <c r="A10" s="3" t="s">
        <v>66</v>
      </c>
      <c r="B10" s="3" t="s">
        <v>67</v>
      </c>
      <c r="C10" s="4" t="n">
        <v>55</v>
      </c>
      <c r="D10" s="9" t="n">
        <v>20</v>
      </c>
    </row>
    <row r="11" customFormat="false" ht="14.25" hidden="false" customHeight="false" outlineLevel="0" collapsed="false">
      <c r="A11" s="3" t="s">
        <v>68</v>
      </c>
      <c r="B11" s="3" t="s">
        <v>69</v>
      </c>
      <c r="C11" s="4" t="n">
        <v>20</v>
      </c>
      <c r="D11" s="9" t="n">
        <v>0</v>
      </c>
    </row>
    <row r="14" customFormat="false" ht="14.25" hidden="false" customHeight="false" outlineLevel="0" collapsed="false">
      <c r="B14" s="3" t="s">
        <v>70</v>
      </c>
      <c r="C14" s="4" t="n">
        <f aca="false">D6+D7</f>
        <v>44</v>
      </c>
    </row>
    <row r="15" customFormat="false" ht="14.25" hidden="false" customHeight="false" outlineLevel="0" collapsed="false">
      <c r="B15" s="3" t="s">
        <v>71</v>
      </c>
      <c r="C15" s="4" t="n">
        <f aca="false">D7+D8</f>
        <v>90</v>
      </c>
    </row>
    <row r="16" customFormat="false" ht="14.25" hidden="false" customHeight="false" outlineLevel="0" collapsed="false">
      <c r="B16" s="3" t="s">
        <v>72</v>
      </c>
      <c r="C16" s="4" t="n">
        <f aca="false">D8+D9</f>
        <v>85</v>
      </c>
    </row>
    <row r="17" customFormat="false" ht="14.25" hidden="false" customHeight="false" outlineLevel="0" collapsed="false">
      <c r="B17" s="3" t="s">
        <v>73</v>
      </c>
      <c r="C17" s="4" t="n">
        <f aca="false">D9+D10</f>
        <v>55</v>
      </c>
    </row>
    <row r="18" customFormat="false" ht="14.25" hidden="false" customHeight="false" outlineLevel="0" collapsed="false">
      <c r="B18" s="3" t="s">
        <v>74</v>
      </c>
      <c r="C18" s="4" t="n">
        <f aca="false">D10+D11</f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Francisco Ambrogio</dc:creator>
  <dc:description/>
  <dc:language>es-AR</dc:language>
  <cp:lastModifiedBy/>
  <dcterms:modified xsi:type="dcterms:W3CDTF">2024-10-05T12:21:29Z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